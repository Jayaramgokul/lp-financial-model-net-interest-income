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yaramgokulan/Documents/GitHub/portfolio/lp-financial-model-net-interest-income/model/"/>
    </mc:Choice>
  </mc:AlternateContent>
  <xr:revisionPtr revIDLastSave="0" documentId="13_ncr:1_{23679A6E-F89F-C341-A289-A195AA07D628}" xr6:coauthVersionLast="47" xr6:coauthVersionMax="47" xr10:uidLastSave="{00000000-0000-0000-0000-000000000000}"/>
  <bookViews>
    <workbookView xWindow="0" yWindow="660" windowWidth="28800" windowHeight="16220" firstSheet="7" activeTab="10" xr2:uid="{00000000-000D-0000-FFFF-FFFF00000000}"/>
  </bookViews>
  <sheets>
    <sheet name="Answer Report 1" sheetId="4" r:id="rId1"/>
    <sheet name="Sensitivity Report 1" sheetId="5" r:id="rId2"/>
    <sheet name="Limits Report 1" sheetId="6" r:id="rId3"/>
    <sheet name="Answer Report 2" sheetId="7" r:id="rId4"/>
    <sheet name="Sensitivity Report 2" sheetId="8" r:id="rId5"/>
    <sheet name="Limits Report 2" sheetId="9" r:id="rId6"/>
    <sheet name="Answer Report 3" sheetId="10" r:id="rId7"/>
    <sheet name="Sensitivity Report 3" sheetId="11" r:id="rId8"/>
    <sheet name="Limits Report 3" sheetId="12" r:id="rId9"/>
    <sheet name="Sheet1" sheetId="1" r:id="rId10"/>
    <sheet name="Replica of the model " sheetId="2" r:id="rId11"/>
  </sheets>
  <definedNames>
    <definedName name="solver_adj" localSheetId="9" hidden="1">Sheet1!$C$153:$C$172</definedName>
    <definedName name="solver_cvg" localSheetId="9" hidden="1">0.0001</definedName>
    <definedName name="solver_drv" localSheetId="9" hidden="1">1</definedName>
    <definedName name="solver_eng" localSheetId="9" hidden="1">2</definedName>
    <definedName name="solver_est" localSheetId="9" hidden="1">1</definedName>
    <definedName name="solver_itr" localSheetId="9" hidden="1">100</definedName>
    <definedName name="solver_lhs1" localSheetId="9" hidden="1">Sheet1!$A$203</definedName>
    <definedName name="solver_lhs10" localSheetId="9" hidden="1">Sheet1!$A$213</definedName>
    <definedName name="solver_lhs11" localSheetId="9" hidden="1">Sheet1!$A$214</definedName>
    <definedName name="solver_lhs12" localSheetId="9" hidden="1">Sheet1!$A$215</definedName>
    <definedName name="solver_lhs13" localSheetId="9" hidden="1">Sheet1!$A$229</definedName>
    <definedName name="solver_lhs14" localSheetId="9" hidden="1">Sheet1!$A$230</definedName>
    <definedName name="solver_lhs15" localSheetId="9" hidden="1">Sheet1!$A$231</definedName>
    <definedName name="solver_lhs16" localSheetId="9" hidden="1">Sheet1!$A$232</definedName>
    <definedName name="solver_lhs17" localSheetId="9" hidden="1">Sheet1!$A$233</definedName>
    <definedName name="solver_lhs18" localSheetId="9" hidden="1">Sheet1!$A$236</definedName>
    <definedName name="solver_lhs19" localSheetId="9" hidden="1">Sheet1!$A$236</definedName>
    <definedName name="solver_lhs2" localSheetId="9" hidden="1">Sheet1!$A$204</definedName>
    <definedName name="solver_lhs20" localSheetId="9" hidden="1">Sheet1!$A$237</definedName>
    <definedName name="solver_lhs21" localSheetId="9" hidden="1">Sheet1!$A$238</definedName>
    <definedName name="solver_lhs22" localSheetId="9" hidden="1">Sheet1!$A$239</definedName>
    <definedName name="solver_lhs23" localSheetId="9" hidden="1">Sheet1!$A$240</definedName>
    <definedName name="solver_lhs24" localSheetId="9" hidden="1">Sheet1!$A$241</definedName>
    <definedName name="solver_lhs25" localSheetId="9" hidden="1">Sheet1!$A$242</definedName>
    <definedName name="solver_lhs26" localSheetId="9" hidden="1">Sheet1!$A$243</definedName>
    <definedName name="solver_lhs27" localSheetId="9" hidden="1">Sheet1!$A$244</definedName>
    <definedName name="solver_lhs28" localSheetId="9" hidden="1">Sheet1!$A$245</definedName>
    <definedName name="solver_lhs29" localSheetId="9" hidden="1">Sheet1!$A$246</definedName>
    <definedName name="solver_lhs3" localSheetId="9" hidden="1">Sheet1!$A$205</definedName>
    <definedName name="solver_lhs30" localSheetId="9" hidden="1">Sheet1!$C$203</definedName>
    <definedName name="solver_lhs31" localSheetId="9" hidden="1">Sheet1!$C$204</definedName>
    <definedName name="solver_lhs32" localSheetId="9" hidden="1">Sheet1!$C$205</definedName>
    <definedName name="solver_lhs33" localSheetId="9" hidden="1">Sheet1!$C$206</definedName>
    <definedName name="solver_lhs34" localSheetId="9" hidden="1">Sheet1!$C$207</definedName>
    <definedName name="solver_lhs35" localSheetId="9" hidden="1">Sheet1!$C$208</definedName>
    <definedName name="solver_lhs36" localSheetId="9" hidden="1">Sheet1!$C$229</definedName>
    <definedName name="solver_lhs37" localSheetId="9" hidden="1">Sheet1!$C$230</definedName>
    <definedName name="solver_lhs38" localSheetId="9" hidden="1">Sheet1!$C$231</definedName>
    <definedName name="solver_lhs39" localSheetId="9" hidden="1">Sheet1!$C$232</definedName>
    <definedName name="solver_lhs4" localSheetId="9" hidden="1">Sheet1!$A$206</definedName>
    <definedName name="solver_lhs40" localSheetId="9" hidden="1">Sheet1!$C$233</definedName>
    <definedName name="solver_lhs41" localSheetId="9" hidden="1">Sheet1!$D$236</definedName>
    <definedName name="solver_lhs42" localSheetId="9" hidden="1">Sheet1!$D$237</definedName>
    <definedName name="solver_lhs43" localSheetId="9" hidden="1">Sheet1!$D$238</definedName>
    <definedName name="solver_lhs44" localSheetId="9" hidden="1">Sheet1!$D$239</definedName>
    <definedName name="solver_lhs45" localSheetId="9" hidden="1">Sheet1!$D$240</definedName>
    <definedName name="solver_lhs46" localSheetId="9" hidden="1">Sheet1!$D$241</definedName>
    <definedName name="solver_lhs47" localSheetId="9" hidden="1">Sheet1!$D$242</definedName>
    <definedName name="solver_lhs48" localSheetId="9" hidden="1">Sheet1!$D$243</definedName>
    <definedName name="solver_lhs49" localSheetId="9" hidden="1">Sheet1!$D$244</definedName>
    <definedName name="solver_lhs5" localSheetId="9" hidden="1">Sheet1!$A$207</definedName>
    <definedName name="solver_lhs50" localSheetId="9" hidden="1">Sheet1!$D$245</definedName>
    <definedName name="solver_lhs6" localSheetId="9" hidden="1">Sheet1!$A$208</definedName>
    <definedName name="solver_lhs7" localSheetId="9" hidden="1">Sheet1!$A$210</definedName>
    <definedName name="solver_lhs8" localSheetId="9" hidden="1">Sheet1!$A$211</definedName>
    <definedName name="solver_lhs9" localSheetId="9" hidden="1">Sheet1!$A$212</definedName>
    <definedName name="solver_lin" localSheetId="9" hidden="1">1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2</definedName>
    <definedName name="solver_nod" localSheetId="9" hidden="1">2147483647</definedName>
    <definedName name="solver_num" localSheetId="9" hidden="1">50</definedName>
    <definedName name="solver_nwt" localSheetId="9" hidden="1">1</definedName>
    <definedName name="solver_opt" localSheetId="9" hidden="1">Sheet1!$B$177</definedName>
    <definedName name="solver_pre" localSheetId="9" hidden="1">0.000001</definedName>
    <definedName name="solver_rbv" localSheetId="9" hidden="1">2</definedName>
    <definedName name="solver_rel1" localSheetId="9" hidden="1">1</definedName>
    <definedName name="solver_rel10" localSheetId="9" hidden="1">2</definedName>
    <definedName name="solver_rel11" localSheetId="9" hidden="1">2</definedName>
    <definedName name="solver_rel12" localSheetId="9" hidden="1">2</definedName>
    <definedName name="solver_rel13" localSheetId="9" hidden="1">1</definedName>
    <definedName name="solver_rel14" localSheetId="9" hidden="1">1</definedName>
    <definedName name="solver_rel15" localSheetId="9" hidden="1">1</definedName>
    <definedName name="solver_rel16" localSheetId="9" hidden="1">1</definedName>
    <definedName name="solver_rel17" localSheetId="9" hidden="1">1</definedName>
    <definedName name="solver_rel18" localSheetId="9" hidden="1">1</definedName>
    <definedName name="solver_rel19" localSheetId="9" hidden="1">1</definedName>
    <definedName name="solver_rel2" localSheetId="9" hidden="1">1</definedName>
    <definedName name="solver_rel20" localSheetId="9" hidden="1">1</definedName>
    <definedName name="solver_rel21" localSheetId="9" hidden="1">1</definedName>
    <definedName name="solver_rel22" localSheetId="9" hidden="1">1</definedName>
    <definedName name="solver_rel23" localSheetId="9" hidden="1">1</definedName>
    <definedName name="solver_rel24" localSheetId="9" hidden="1">1</definedName>
    <definedName name="solver_rel25" localSheetId="9" hidden="1">1</definedName>
    <definedName name="solver_rel26" localSheetId="9" hidden="1">1</definedName>
    <definedName name="solver_rel27" localSheetId="9" hidden="1">1</definedName>
    <definedName name="solver_rel28" localSheetId="9" hidden="1">1</definedName>
    <definedName name="solver_rel29" localSheetId="9" hidden="1">1</definedName>
    <definedName name="solver_rel3" localSheetId="9" hidden="1">1</definedName>
    <definedName name="solver_rel30" localSheetId="9" hidden="1">1</definedName>
    <definedName name="solver_rel31" localSheetId="9" hidden="1">1</definedName>
    <definedName name="solver_rel32" localSheetId="9" hidden="1">1</definedName>
    <definedName name="solver_rel33" localSheetId="9" hidden="1">1</definedName>
    <definedName name="solver_rel34" localSheetId="9" hidden="1">1</definedName>
    <definedName name="solver_rel35" localSheetId="9" hidden="1">1</definedName>
    <definedName name="solver_rel36" localSheetId="9" hidden="1">1</definedName>
    <definedName name="solver_rel37" localSheetId="9" hidden="1">1</definedName>
    <definedName name="solver_rel38" localSheetId="9" hidden="1">1</definedName>
    <definedName name="solver_rel39" localSheetId="9" hidden="1">1</definedName>
    <definedName name="solver_rel4" localSheetId="9" hidden="1">1</definedName>
    <definedName name="solver_rel40" localSheetId="9" hidden="1">1</definedName>
    <definedName name="solver_rel41" localSheetId="9" hidden="1">1</definedName>
    <definedName name="solver_rel42" localSheetId="9" hidden="1">1</definedName>
    <definedName name="solver_rel43" localSheetId="9" hidden="1">1</definedName>
    <definedName name="solver_rel44" localSheetId="9" hidden="1">1</definedName>
    <definedName name="solver_rel45" localSheetId="9" hidden="1">1</definedName>
    <definedName name="solver_rel46" localSheetId="9" hidden="1">1</definedName>
    <definedName name="solver_rel47" localSheetId="9" hidden="1">1</definedName>
    <definedName name="solver_rel48" localSheetId="9" hidden="1">1</definedName>
    <definedName name="solver_rel49" localSheetId="9" hidden="1">1</definedName>
    <definedName name="solver_rel5" localSheetId="9" hidden="1">1</definedName>
    <definedName name="solver_rel50" localSheetId="9" hidden="1">1</definedName>
    <definedName name="solver_rel6" localSheetId="9" hidden="1">1</definedName>
    <definedName name="solver_rel7" localSheetId="9" hidden="1">2</definedName>
    <definedName name="solver_rel8" localSheetId="9" hidden="1">2</definedName>
    <definedName name="solver_rel9" localSheetId="9" hidden="1">2</definedName>
    <definedName name="solver_rhs1" localSheetId="9" hidden="1">Sheet1!$C$203</definedName>
    <definedName name="solver_rhs10" localSheetId="9" hidden="1">Sheet1!$C$213</definedName>
    <definedName name="solver_rhs11" localSheetId="9" hidden="1">Sheet1!$C$214</definedName>
    <definedName name="solver_rhs12" localSheetId="9" hidden="1">Sheet1!$C$215</definedName>
    <definedName name="solver_rhs13" localSheetId="9" hidden="1">Sheet1!$C$229</definedName>
    <definedName name="solver_rhs14" localSheetId="9" hidden="1">Sheet1!$C$230</definedName>
    <definedName name="solver_rhs15" localSheetId="9" hidden="1">Sheet1!$C$231</definedName>
    <definedName name="solver_rhs16" localSheetId="9" hidden="1">Sheet1!$C$232</definedName>
    <definedName name="solver_rhs17" localSheetId="9" hidden="1">Sheet1!$C$233</definedName>
    <definedName name="solver_rhs18" localSheetId="9" hidden="1">Sheet1!$C$236</definedName>
    <definedName name="solver_rhs19" localSheetId="9" hidden="1">Sheet1!$C$236</definedName>
    <definedName name="solver_rhs2" localSheetId="9" hidden="1">Sheet1!$C$204</definedName>
    <definedName name="solver_rhs20" localSheetId="9" hidden="1">Sheet1!$C$237</definedName>
    <definedName name="solver_rhs21" localSheetId="9" hidden="1">Sheet1!$C$238</definedName>
    <definedName name="solver_rhs22" localSheetId="9" hidden="1">Sheet1!$C$239</definedName>
    <definedName name="solver_rhs23" localSheetId="9" hidden="1">Sheet1!$C$240</definedName>
    <definedName name="solver_rhs24" localSheetId="9" hidden="1">Sheet1!$C$241</definedName>
    <definedName name="solver_rhs25" localSheetId="9" hidden="1">Sheet1!$C$242</definedName>
    <definedName name="solver_rhs26" localSheetId="9" hidden="1">Sheet1!$C$243</definedName>
    <definedName name="solver_rhs27" localSheetId="9" hidden="1">Sheet1!$C$244</definedName>
    <definedName name="solver_rhs28" localSheetId="9" hidden="1">Sheet1!$C$245</definedName>
    <definedName name="solver_rhs29" localSheetId="9" hidden="1">Sheet1!$C$246</definedName>
    <definedName name="solver_rhs3" localSheetId="9" hidden="1">Sheet1!$C$205</definedName>
    <definedName name="solver_rhs30" localSheetId="9" hidden="1">Sheet1!$E$203</definedName>
    <definedName name="solver_rhs31" localSheetId="9" hidden="1">Sheet1!$E$204</definedName>
    <definedName name="solver_rhs32" localSheetId="9" hidden="1">Sheet1!$E$205</definedName>
    <definedName name="solver_rhs33" localSheetId="9" hidden="1">Sheet1!$E$206</definedName>
    <definedName name="solver_rhs34" localSheetId="9" hidden="1">Sheet1!$E$207</definedName>
    <definedName name="solver_rhs35" localSheetId="9" hidden="1">Sheet1!$E$208</definedName>
    <definedName name="solver_rhs36" localSheetId="9" hidden="1">Sheet1!$E$229</definedName>
    <definedName name="solver_rhs37" localSheetId="9" hidden="1">Sheet1!$E$230</definedName>
    <definedName name="solver_rhs38" localSheetId="9" hidden="1">Sheet1!$E$231</definedName>
    <definedName name="solver_rhs39" localSheetId="9" hidden="1">Sheet1!$E$232</definedName>
    <definedName name="solver_rhs4" localSheetId="9" hidden="1">Sheet1!$C$206</definedName>
    <definedName name="solver_rhs40" localSheetId="9" hidden="1">Sheet1!$E$233</definedName>
    <definedName name="solver_rhs41" localSheetId="9" hidden="1">Sheet1!$F$236</definedName>
    <definedName name="solver_rhs42" localSheetId="9" hidden="1">Sheet1!$F$237</definedName>
    <definedName name="solver_rhs43" localSheetId="9" hidden="1">Sheet1!$F$238</definedName>
    <definedName name="solver_rhs44" localSheetId="9" hidden="1">Sheet1!$F$239</definedName>
    <definedName name="solver_rhs45" localSheetId="9" hidden="1">Sheet1!$F$240</definedName>
    <definedName name="solver_rhs46" localSheetId="9" hidden="1">Sheet1!$F$241</definedName>
    <definedName name="solver_rhs47" localSheetId="9" hidden="1">Sheet1!$F$242</definedName>
    <definedName name="solver_rhs48" localSheetId="9" hidden="1">Sheet1!$F$243</definedName>
    <definedName name="solver_rhs49" localSheetId="9" hidden="1">Sheet1!$F$244</definedName>
    <definedName name="solver_rhs5" localSheetId="9" hidden="1">Sheet1!$C$207</definedName>
    <definedName name="solver_rhs50" localSheetId="9" hidden="1">Sheet1!$F$245</definedName>
    <definedName name="solver_rhs6" localSheetId="9" hidden="1">Sheet1!$C$208</definedName>
    <definedName name="solver_rhs7" localSheetId="9" hidden="1">Sheet1!$C$210</definedName>
    <definedName name="solver_rhs8" localSheetId="9" hidden="1">Sheet1!$C$211</definedName>
    <definedName name="solver_rhs9" localSheetId="9" hidden="1">Sheet1!$C$212</definedName>
    <definedName name="solver_rlx" localSheetId="9" hidden="1">2</definedName>
    <definedName name="solver_rsd" localSheetId="9" hidden="1">0</definedName>
    <definedName name="solver_scl" localSheetId="9" hidden="1">2</definedName>
    <definedName name="solver_sho" localSheetId="2" hidden="1">2</definedName>
    <definedName name="solver_sho" localSheetId="5" hidden="1">2</definedName>
    <definedName name="solver_sho" localSheetId="8" hidden="1">2</definedName>
    <definedName name="solver_sho" localSheetId="9" hidden="1">2</definedName>
    <definedName name="solver_ssz" localSheetId="9" hidden="1">100</definedName>
    <definedName name="solver_tim" localSheetId="9" hidden="1">100</definedName>
    <definedName name="solver_tol" localSheetId="9" hidden="1">0.05</definedName>
    <definedName name="solver_typ" localSheetId="9" hidden="1">1</definedName>
    <definedName name="solver_val" localSheetId="9" hidden="1">0</definedName>
    <definedName name="solver_ver" localSheetId="9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8" i="2" l="1"/>
  <c r="B97" i="1" l="1"/>
  <c r="B69" i="1"/>
  <c r="B68" i="1"/>
  <c r="C203" i="1"/>
  <c r="A257" i="1"/>
  <c r="B37" i="1" s="1"/>
  <c r="A261" i="1"/>
  <c r="B40" i="1" s="1"/>
  <c r="B53" i="1"/>
  <c r="B54" i="1" s="1"/>
  <c r="B44" i="1"/>
  <c r="B55" i="1"/>
  <c r="B77" i="1"/>
  <c r="B78" i="1"/>
  <c r="C237" i="1"/>
  <c r="C242" i="1"/>
  <c r="C246" i="1"/>
  <c r="B84" i="1"/>
  <c r="B104" i="1" s="1"/>
  <c r="B85" i="1"/>
  <c r="B105" i="1" s="1"/>
  <c r="C53" i="1"/>
  <c r="B107" i="1"/>
  <c r="B71" i="1"/>
  <c r="D53" i="1"/>
  <c r="C71" i="1"/>
  <c r="B45" i="1"/>
  <c r="B56" i="1" s="1"/>
  <c r="B58" i="1"/>
  <c r="B59" i="1"/>
  <c r="C54" i="1"/>
  <c r="C57" i="1"/>
  <c r="D176" i="1"/>
  <c r="C93" i="1" s="1"/>
  <c r="D182" i="1"/>
  <c r="C58" i="1"/>
  <c r="D186" i="1"/>
  <c r="D191" i="1"/>
  <c r="D195" i="1"/>
  <c r="D361" i="1" s="1"/>
  <c r="C94" i="1"/>
  <c r="C59" i="1"/>
  <c r="C238" i="1"/>
  <c r="C86" i="1" s="1"/>
  <c r="C114" i="1"/>
  <c r="B87" i="1"/>
  <c r="B115" i="1" s="1"/>
  <c r="C115" i="1" s="1"/>
  <c r="D115" i="1" s="1"/>
  <c r="E115" i="1" s="1"/>
  <c r="C243" i="1"/>
  <c r="C87" i="1"/>
  <c r="B88" i="1"/>
  <c r="C116" i="1"/>
  <c r="C117" i="1"/>
  <c r="E53" i="1"/>
  <c r="D71" i="1"/>
  <c r="C239" i="1"/>
  <c r="C244" i="1"/>
  <c r="D87" i="1"/>
  <c r="D116" i="1"/>
  <c r="D117" i="1"/>
  <c r="D54" i="1"/>
  <c r="D57" i="1" s="1"/>
  <c r="D177" i="1"/>
  <c r="D183" i="1"/>
  <c r="D187" i="1"/>
  <c r="D192" i="1"/>
  <c r="F356" i="1" s="1"/>
  <c r="D94" i="1"/>
  <c r="D59" i="1"/>
  <c r="F53" i="1"/>
  <c r="E71" i="1"/>
  <c r="E54" i="1"/>
  <c r="E57" i="1"/>
  <c r="D178" i="1"/>
  <c r="D184" i="1"/>
  <c r="G347" i="1" s="1"/>
  <c r="D188" i="1"/>
  <c r="D193" i="1"/>
  <c r="C240" i="1"/>
  <c r="E86" i="1"/>
  <c r="E114" i="1" s="1"/>
  <c r="C245" i="1"/>
  <c r="E87" i="1"/>
  <c r="F115" i="1" s="1"/>
  <c r="G115" i="1" s="1"/>
  <c r="E116" i="1"/>
  <c r="E117" i="1"/>
  <c r="G53" i="1"/>
  <c r="F107" i="1" s="1"/>
  <c r="F71" i="1"/>
  <c r="D179" i="1"/>
  <c r="D185" i="1"/>
  <c r="F93" i="1"/>
  <c r="F58" i="1"/>
  <c r="D189" i="1"/>
  <c r="D194" i="1"/>
  <c r="C241" i="1"/>
  <c r="D190" i="1" s="1"/>
  <c r="F86" i="1"/>
  <c r="F114" i="1"/>
  <c r="F116" i="1"/>
  <c r="F117" i="1"/>
  <c r="H53" i="1"/>
  <c r="G71" i="1"/>
  <c r="G116" i="1"/>
  <c r="G117" i="1"/>
  <c r="G54" i="1"/>
  <c r="G57" i="1" s="1"/>
  <c r="D180" i="1"/>
  <c r="G93" i="1"/>
  <c r="G58" i="1" s="1"/>
  <c r="G94" i="1"/>
  <c r="B86" i="1"/>
  <c r="B114" i="1" s="1"/>
  <c r="B116" i="1"/>
  <c r="B117" i="1"/>
  <c r="F236" i="1"/>
  <c r="F237" i="1"/>
  <c r="A265" i="1"/>
  <c r="C107" i="1"/>
  <c r="G107" i="1"/>
  <c r="F105" i="1"/>
  <c r="G105" i="1"/>
  <c r="H105" i="1"/>
  <c r="H104" i="1"/>
  <c r="H103" i="1"/>
  <c r="F238" i="1"/>
  <c r="F239" i="1"/>
  <c r="F240" i="1"/>
  <c r="F241" i="1"/>
  <c r="F242" i="1"/>
  <c r="F243" i="1"/>
  <c r="F244" i="1"/>
  <c r="F245" i="1"/>
  <c r="C236" i="1"/>
  <c r="A262" i="1"/>
  <c r="C233" i="1" s="1"/>
  <c r="A258" i="1"/>
  <c r="C230" i="1" s="1"/>
  <c r="C37" i="1"/>
  <c r="A259" i="1"/>
  <c r="C231" i="1" s="1"/>
  <c r="A375" i="2"/>
  <c r="A371" i="2"/>
  <c r="A367" i="2"/>
  <c r="A265" i="2"/>
  <c r="B361" i="2"/>
  <c r="A360" i="2"/>
  <c r="A359" i="2"/>
  <c r="E358" i="2"/>
  <c r="D358" i="2"/>
  <c r="C358" i="2"/>
  <c r="A358" i="2"/>
  <c r="C244" i="2"/>
  <c r="D193" i="2"/>
  <c r="G357" i="2" s="1"/>
  <c r="C245" i="2"/>
  <c r="A357" i="2"/>
  <c r="A356" i="2"/>
  <c r="A355" i="2"/>
  <c r="B354" i="2"/>
  <c r="C237" i="2"/>
  <c r="D186" i="2"/>
  <c r="B352" i="2"/>
  <c r="B344" i="2"/>
  <c r="D180" i="2"/>
  <c r="G343" i="2"/>
  <c r="D179" i="2"/>
  <c r="F93" i="2" s="1"/>
  <c r="F342" i="2" s="1"/>
  <c r="F343" i="2"/>
  <c r="D178" i="2"/>
  <c r="D177" i="2"/>
  <c r="D343" i="2" s="1"/>
  <c r="B343" i="2"/>
  <c r="B342" i="2"/>
  <c r="B340" i="2"/>
  <c r="G332" i="2"/>
  <c r="F332" i="2"/>
  <c r="E332" i="2"/>
  <c r="D332" i="2"/>
  <c r="C332" i="2"/>
  <c r="B332" i="2"/>
  <c r="D331" i="2"/>
  <c r="C331" i="2"/>
  <c r="B331" i="2"/>
  <c r="B330" i="2"/>
  <c r="B329" i="2"/>
  <c r="C327" i="2"/>
  <c r="G326" i="2"/>
  <c r="D314" i="2"/>
  <c r="E326" i="2"/>
  <c r="B326" i="2"/>
  <c r="B325" i="2"/>
  <c r="C96" i="2"/>
  <c r="C326" i="2"/>
  <c r="C325" i="2" s="1"/>
  <c r="G323" i="2"/>
  <c r="F323" i="2"/>
  <c r="E323" i="2"/>
  <c r="C323" i="2"/>
  <c r="B323" i="2"/>
  <c r="B321" i="2"/>
  <c r="B322" i="2"/>
  <c r="E331" i="2" s="1"/>
  <c r="G322" i="2"/>
  <c r="F322" i="2"/>
  <c r="E322" i="2"/>
  <c r="D322" i="2"/>
  <c r="G331" i="2"/>
  <c r="C322" i="2"/>
  <c r="F331" i="2"/>
  <c r="G321" i="2"/>
  <c r="F321" i="2"/>
  <c r="F320" i="2" s="1"/>
  <c r="G330" i="2"/>
  <c r="E321" i="2"/>
  <c r="D321" i="2"/>
  <c r="C321" i="2"/>
  <c r="D330" i="2" s="1"/>
  <c r="C320" i="2"/>
  <c r="E315" i="2"/>
  <c r="D315" i="2"/>
  <c r="C315" i="2"/>
  <c r="B315" i="2"/>
  <c r="E314" i="2"/>
  <c r="F326" i="2" s="1"/>
  <c r="C314" i="2"/>
  <c r="D326" i="2" s="1"/>
  <c r="B314" i="2"/>
  <c r="A305" i="2"/>
  <c r="A303" i="2"/>
  <c r="A301" i="2"/>
  <c r="A297" i="2"/>
  <c r="A295" i="2"/>
  <c r="A293" i="2"/>
  <c r="A288" i="2"/>
  <c r="A286" i="2"/>
  <c r="A284" i="2"/>
  <c r="A262" i="2"/>
  <c r="C233" i="2"/>
  <c r="A261" i="2"/>
  <c r="B40" i="2" s="1"/>
  <c r="C232" i="2"/>
  <c r="C246" i="2"/>
  <c r="D87" i="2"/>
  <c r="C243" i="2"/>
  <c r="D192" i="2" s="1"/>
  <c r="C87" i="2"/>
  <c r="C242" i="2"/>
  <c r="D191" i="2" s="1"/>
  <c r="B87" i="2"/>
  <c r="C241" i="2"/>
  <c r="D190" i="2" s="1"/>
  <c r="G95" i="2"/>
  <c r="G329" i="2" s="1"/>
  <c r="C240" i="2"/>
  <c r="D189" i="2"/>
  <c r="F353" i="2" s="1"/>
  <c r="C239" i="2"/>
  <c r="C238" i="2"/>
  <c r="C86" i="2" s="1"/>
  <c r="D187" i="2"/>
  <c r="C231" i="2"/>
  <c r="C230" i="2"/>
  <c r="C229" i="2"/>
  <c r="C208" i="2"/>
  <c r="C207" i="2"/>
  <c r="C206" i="2"/>
  <c r="C205" i="2"/>
  <c r="C204" i="2"/>
  <c r="C203" i="2"/>
  <c r="E356" i="2"/>
  <c r="D185" i="2"/>
  <c r="F348" i="2" s="1"/>
  <c r="G348" i="2"/>
  <c r="D184" i="2"/>
  <c r="D183" i="2"/>
  <c r="E346" i="2" s="1"/>
  <c r="F346" i="2"/>
  <c r="D182" i="2"/>
  <c r="D181" i="2"/>
  <c r="D176" i="2"/>
  <c r="C93" i="2" s="1"/>
  <c r="C342" i="2" s="1"/>
  <c r="B97" i="2"/>
  <c r="G96" i="2"/>
  <c r="G325" i="2"/>
  <c r="G327" i="2" s="1"/>
  <c r="F96" i="2"/>
  <c r="F325" i="2" s="1"/>
  <c r="E96" i="2"/>
  <c r="E325" i="2"/>
  <c r="E327" i="2" s="1"/>
  <c r="D96" i="2"/>
  <c r="D325" i="2" s="1"/>
  <c r="E85" i="2"/>
  <c r="D85" i="2"/>
  <c r="C85" i="2"/>
  <c r="B85" i="2"/>
  <c r="G84" i="2"/>
  <c r="F84" i="2"/>
  <c r="E84" i="2"/>
  <c r="D84" i="2"/>
  <c r="C84" i="2"/>
  <c r="B84" i="2"/>
  <c r="F78" i="2"/>
  <c r="E78" i="2"/>
  <c r="C78" i="2"/>
  <c r="B78" i="2"/>
  <c r="G77" i="2"/>
  <c r="F77" i="2"/>
  <c r="E77" i="2"/>
  <c r="D77" i="2"/>
  <c r="C77" i="2"/>
  <c r="H53" i="2"/>
  <c r="G71" i="2" s="1"/>
  <c r="C69" i="2"/>
  <c r="B69" i="2"/>
  <c r="B68" i="2"/>
  <c r="B59" i="2"/>
  <c r="B58" i="2"/>
  <c r="C53" i="2"/>
  <c r="B44" i="2"/>
  <c r="B55" i="2" s="1"/>
  <c r="B77" i="2" s="1"/>
  <c r="G53" i="2"/>
  <c r="F53" i="2"/>
  <c r="E71" i="2" s="1"/>
  <c r="E53" i="2"/>
  <c r="D71" i="2" s="1"/>
  <c r="D53" i="2"/>
  <c r="C71" i="2"/>
  <c r="B53" i="2"/>
  <c r="B54" i="2" s="1"/>
  <c r="B45" i="2"/>
  <c r="B56" i="2" s="1"/>
  <c r="B43" i="2"/>
  <c r="C37" i="2"/>
  <c r="B37" i="2"/>
  <c r="G67" i="2"/>
  <c r="G70" i="2" s="1"/>
  <c r="E54" i="2"/>
  <c r="E57" i="2"/>
  <c r="D95" i="2"/>
  <c r="D329" i="2" s="1"/>
  <c r="G320" i="2"/>
  <c r="D54" i="2"/>
  <c r="D57" i="2" s="1"/>
  <c r="A212" i="2"/>
  <c r="A210" i="2"/>
  <c r="A213" i="2"/>
  <c r="C236" i="2"/>
  <c r="A214" i="2"/>
  <c r="D320" i="2"/>
  <c r="E330" i="2"/>
  <c r="G353" i="2"/>
  <c r="D345" i="2"/>
  <c r="E345" i="2"/>
  <c r="C345" i="2"/>
  <c r="C344" i="2"/>
  <c r="D93" i="2"/>
  <c r="D58" i="2" s="1"/>
  <c r="E95" i="2"/>
  <c r="E329" i="2" s="1"/>
  <c r="F67" i="2"/>
  <c r="F70" i="2" s="1"/>
  <c r="E207" i="2" s="1"/>
  <c r="D67" i="2"/>
  <c r="C67" i="2"/>
  <c r="E67" i="2"/>
  <c r="B67" i="2"/>
  <c r="B70" i="2"/>
  <c r="E203" i="2" s="1"/>
  <c r="D37" i="2"/>
  <c r="E69" i="2" s="1"/>
  <c r="C68" i="2"/>
  <c r="G68" i="2"/>
  <c r="F68" i="2"/>
  <c r="E68" i="2"/>
  <c r="D68" i="2"/>
  <c r="D70" i="2" s="1"/>
  <c r="D356" i="2"/>
  <c r="D346" i="2"/>
  <c r="D344" i="2" s="1"/>
  <c r="F356" i="2"/>
  <c r="F86" i="2"/>
  <c r="E75" i="2"/>
  <c r="F95" i="2"/>
  <c r="F329" i="2" s="1"/>
  <c r="E86" i="2"/>
  <c r="B340" i="1"/>
  <c r="A210" i="1"/>
  <c r="A371" i="1"/>
  <c r="A375" i="1"/>
  <c r="A367" i="1"/>
  <c r="B354" i="1"/>
  <c r="B361" i="1"/>
  <c r="E358" i="1"/>
  <c r="D358" i="1"/>
  <c r="C358" i="1"/>
  <c r="B344" i="1"/>
  <c r="A356" i="1"/>
  <c r="A357" i="1"/>
  <c r="A358" i="1"/>
  <c r="A359" i="1"/>
  <c r="A360" i="1"/>
  <c r="A355" i="1"/>
  <c r="B352" i="1"/>
  <c r="B343" i="1"/>
  <c r="B342" i="1"/>
  <c r="G332" i="1"/>
  <c r="F332" i="1"/>
  <c r="E332" i="1"/>
  <c r="D332" i="1"/>
  <c r="C332" i="1"/>
  <c r="D331" i="1"/>
  <c r="C331" i="1"/>
  <c r="B332" i="1"/>
  <c r="B331" i="1"/>
  <c r="B330" i="1"/>
  <c r="B329" i="1"/>
  <c r="G323" i="1"/>
  <c r="G322" i="1"/>
  <c r="G321" i="1"/>
  <c r="G320" i="1" s="1"/>
  <c r="F323" i="1"/>
  <c r="F320" i="1" s="1"/>
  <c r="F322" i="1"/>
  <c r="F321" i="1"/>
  <c r="G330" i="1"/>
  <c r="E323" i="1"/>
  <c r="E322" i="1"/>
  <c r="E321" i="1"/>
  <c r="F330" i="1"/>
  <c r="D321" i="1"/>
  <c r="E330" i="1" s="1"/>
  <c r="G326" i="1"/>
  <c r="D322" i="1"/>
  <c r="G331" i="1" s="1"/>
  <c r="E315" i="1"/>
  <c r="E314" i="1"/>
  <c r="D315" i="1"/>
  <c r="D314" i="1"/>
  <c r="E326" i="1"/>
  <c r="C327" i="1"/>
  <c r="C323" i="1"/>
  <c r="C322" i="1"/>
  <c r="F331" i="1"/>
  <c r="C321" i="1"/>
  <c r="D330" i="1" s="1"/>
  <c r="C315" i="1"/>
  <c r="C314" i="1"/>
  <c r="D326" i="1" s="1"/>
  <c r="B326" i="1"/>
  <c r="B325" i="1" s="1"/>
  <c r="B323" i="1"/>
  <c r="B322" i="1"/>
  <c r="E331" i="1" s="1"/>
  <c r="B321" i="1"/>
  <c r="C330" i="1" s="1"/>
  <c r="B315" i="1"/>
  <c r="B314" i="1"/>
  <c r="B994" i="1"/>
  <c r="C994" i="1"/>
  <c r="D994" i="1"/>
  <c r="B1003" i="1"/>
  <c r="C1003" i="1"/>
  <c r="D1003" i="1"/>
  <c r="B1006" i="1"/>
  <c r="C1006" i="1"/>
  <c r="D1006" i="1"/>
  <c r="F69" i="2"/>
  <c r="D69" i="2"/>
  <c r="G69" i="2"/>
  <c r="E70" i="2"/>
  <c r="B313" i="2"/>
  <c r="B316" i="2"/>
  <c r="F58" i="2"/>
  <c r="C58" i="2"/>
  <c r="C320" i="1"/>
  <c r="F326" i="1"/>
  <c r="D1004" i="1"/>
  <c r="D1005" i="1" s="1"/>
  <c r="B43" i="1"/>
  <c r="C343" i="1"/>
  <c r="A305" i="1"/>
  <c r="A303" i="1"/>
  <c r="A301" i="1"/>
  <c r="A297" i="1"/>
  <c r="A295" i="1"/>
  <c r="A293" i="1"/>
  <c r="A288" i="1"/>
  <c r="A286" i="1"/>
  <c r="A284" i="1"/>
  <c r="A215" i="1"/>
  <c r="A214" i="1"/>
  <c r="A213" i="1"/>
  <c r="A212" i="1"/>
  <c r="A211" i="1"/>
  <c r="F313" i="2"/>
  <c r="F316" i="2" s="1"/>
  <c r="C229" i="1"/>
  <c r="F84" i="1"/>
  <c r="F104" i="1"/>
  <c r="E84" i="1"/>
  <c r="E104" i="1"/>
  <c r="D84" i="1"/>
  <c r="D104" i="1" s="1"/>
  <c r="E85" i="1"/>
  <c r="E105" i="1" s="1"/>
  <c r="D85" i="1"/>
  <c r="D105" i="1"/>
  <c r="C85" i="1"/>
  <c r="C105" i="1"/>
  <c r="G96" i="1"/>
  <c r="G325" i="1" s="1"/>
  <c r="G95" i="1"/>
  <c r="G329" i="1" s="1"/>
  <c r="F96" i="1"/>
  <c r="F325" i="1" s="1"/>
  <c r="F95" i="1"/>
  <c r="F329" i="1"/>
  <c r="E96" i="1"/>
  <c r="E325" i="1"/>
  <c r="D95" i="1"/>
  <c r="D329" i="1"/>
  <c r="D96" i="1"/>
  <c r="D325" i="1" s="1"/>
  <c r="C95" i="1"/>
  <c r="C329" i="1"/>
  <c r="C96" i="1"/>
  <c r="E327" i="1"/>
  <c r="F327" i="1"/>
  <c r="G353" i="1"/>
  <c r="F353" i="1"/>
  <c r="D353" i="1"/>
  <c r="C353" i="1"/>
  <c r="D343" i="1"/>
  <c r="D181" i="1"/>
  <c r="G343" i="1"/>
  <c r="F343" i="1"/>
  <c r="E343" i="1"/>
  <c r="G84" i="1"/>
  <c r="G104" i="1"/>
  <c r="C84" i="1"/>
  <c r="C104" i="1" s="1"/>
  <c r="B311" i="1"/>
  <c r="C208" i="1"/>
  <c r="C207" i="1"/>
  <c r="C204" i="1"/>
  <c r="C205" i="1"/>
  <c r="C206" i="1"/>
  <c r="D345" i="1"/>
  <c r="E345" i="1"/>
  <c r="G357" i="1"/>
  <c r="F357" i="1"/>
  <c r="E357" i="1"/>
  <c r="E355" i="1"/>
  <c r="D355" i="1"/>
  <c r="C355" i="1"/>
  <c r="F346" i="1"/>
  <c r="D346" i="1"/>
  <c r="D344" i="1" s="1"/>
  <c r="E346" i="1"/>
  <c r="E347" i="1"/>
  <c r="F347" i="1"/>
  <c r="G348" i="1"/>
  <c r="F348" i="1"/>
  <c r="F361" i="1"/>
  <c r="E361" i="1"/>
  <c r="C361" i="1"/>
  <c r="G361" i="1"/>
  <c r="C342" i="1"/>
  <c r="F342" i="1"/>
  <c r="G342" i="1"/>
  <c r="F78" i="1"/>
  <c r="E78" i="1"/>
  <c r="C78" i="1"/>
  <c r="C340" i="1"/>
  <c r="C352" i="1"/>
  <c r="G344" i="1"/>
  <c r="D340" i="1"/>
  <c r="G340" i="1"/>
  <c r="G67" i="1"/>
  <c r="C69" i="1"/>
  <c r="C77" i="1"/>
  <c r="D77" i="1"/>
  <c r="E77" i="1"/>
  <c r="F77" i="1"/>
  <c r="G77" i="1"/>
  <c r="F67" i="1"/>
  <c r="E67" i="1"/>
  <c r="D107" i="1"/>
  <c r="E1006" i="1"/>
  <c r="F1006" i="1"/>
  <c r="G1006" i="1"/>
  <c r="H1006" i="1"/>
  <c r="B1207" i="1"/>
  <c r="B1205" i="1" s="1"/>
  <c r="B1231" i="1"/>
  <c r="C1089" i="1"/>
  <c r="C1091" i="1" s="1"/>
  <c r="C1092" i="1" s="1"/>
  <c r="D1089" i="1"/>
  <c r="E1089" i="1"/>
  <c r="F1089" i="1"/>
  <c r="F1091" i="1" s="1"/>
  <c r="G1089" i="1"/>
  <c r="B1089" i="1"/>
  <c r="B1090" i="1"/>
  <c r="E1003" i="1"/>
  <c r="F1003" i="1"/>
  <c r="G1003" i="1"/>
  <c r="H1003" i="1"/>
  <c r="E994" i="1"/>
  <c r="B1257" i="1" s="1"/>
  <c r="F994" i="1"/>
  <c r="G994" i="1"/>
  <c r="B1256" i="1"/>
  <c r="B1260" i="1" s="1"/>
  <c r="B1067" i="1"/>
  <c r="C1220" i="1" s="1"/>
  <c r="B1066" i="1"/>
  <c r="B1070" i="1" s="1"/>
  <c r="F1104" i="1"/>
  <c r="F1103" i="1"/>
  <c r="B1118" i="1"/>
  <c r="B1182" i="1"/>
  <c r="C1221" i="1" s="1"/>
  <c r="D1221" i="1" s="1"/>
  <c r="E1221" i="1" s="1"/>
  <c r="F1221" i="1" s="1"/>
  <c r="G1221" i="1" s="1"/>
  <c r="G1024" i="1"/>
  <c r="F1024" i="1"/>
  <c r="E1024" i="1"/>
  <c r="D1024" i="1"/>
  <c r="C1024" i="1"/>
  <c r="B1024" i="1"/>
  <c r="B1170" i="1"/>
  <c r="C1229" i="1"/>
  <c r="D1229" i="1" s="1"/>
  <c r="E1229" i="1" s="1"/>
  <c r="F1229" i="1" s="1"/>
  <c r="G1229" i="1" s="1"/>
  <c r="C1219" i="1"/>
  <c r="D1219" i="1"/>
  <c r="E1219" i="1" s="1"/>
  <c r="F1219" i="1" s="1"/>
  <c r="G1219" i="1" s="1"/>
  <c r="B1213" i="1"/>
  <c r="C1129" i="1"/>
  <c r="B1129" i="1"/>
  <c r="C1182" i="1"/>
  <c r="D1182" i="1"/>
  <c r="E1182" i="1"/>
  <c r="F1182" i="1"/>
  <c r="G1182" i="1"/>
  <c r="G1181" i="1"/>
  <c r="F1181" i="1"/>
  <c r="E1181" i="1"/>
  <c r="D1181" i="1"/>
  <c r="C1181" i="1"/>
  <c r="B1181" i="1"/>
  <c r="C1173" i="1"/>
  <c r="C1214" i="1"/>
  <c r="D1173" i="1"/>
  <c r="D1214" i="1"/>
  <c r="E1173" i="1"/>
  <c r="E1214" i="1" s="1"/>
  <c r="F1173" i="1"/>
  <c r="F1214" i="1" s="1"/>
  <c r="G1173" i="1"/>
  <c r="G1214" i="1"/>
  <c r="B1173" i="1"/>
  <c r="B1196" i="1"/>
  <c r="B1198" i="1"/>
  <c r="B1215" i="1" s="1"/>
  <c r="C1194" i="1"/>
  <c r="D1194" i="1"/>
  <c r="E1196" i="1" s="1"/>
  <c r="E1215" i="1" s="1"/>
  <c r="E1194" i="1"/>
  <c r="F1196" i="1" s="1"/>
  <c r="F1215" i="1" s="1"/>
  <c r="F1194" i="1"/>
  <c r="F1195" i="1"/>
  <c r="F1197" i="1" s="1"/>
  <c r="F1172" i="1" s="1"/>
  <c r="F1174" i="1" s="1"/>
  <c r="G1194" i="1"/>
  <c r="B1199" i="1"/>
  <c r="B1194" i="1"/>
  <c r="B1195" i="1" s="1"/>
  <c r="B1197" i="1" s="1"/>
  <c r="B1237" i="1" s="1"/>
  <c r="G1129" i="1"/>
  <c r="F1129" i="1"/>
  <c r="E1129" i="1"/>
  <c r="D1129" i="1"/>
  <c r="C1119" i="1"/>
  <c r="D1119" i="1"/>
  <c r="E1119" i="1"/>
  <c r="F1119" i="1"/>
  <c r="G1119" i="1"/>
  <c r="B1119" i="1"/>
  <c r="C1098" i="1"/>
  <c r="D1098" i="1"/>
  <c r="E1098" i="1"/>
  <c r="F1098" i="1"/>
  <c r="B1098" i="1"/>
  <c r="G1098" i="1"/>
  <c r="B1097" i="1"/>
  <c r="C1222" i="1" s="1"/>
  <c r="G1097" i="1"/>
  <c r="F1097" i="1"/>
  <c r="E1097" i="1"/>
  <c r="D1097" i="1"/>
  <c r="D1099" i="1" s="1"/>
  <c r="D1100" i="1" s="1"/>
  <c r="C1097" i="1"/>
  <c r="B1096" i="1"/>
  <c r="G1096" i="1"/>
  <c r="F1096" i="1"/>
  <c r="E1096" i="1"/>
  <c r="D1096" i="1"/>
  <c r="C1096" i="1"/>
  <c r="C1099" i="1" s="1"/>
  <c r="G1095" i="1"/>
  <c r="G1099" i="1" s="1"/>
  <c r="G1100" i="1" s="1"/>
  <c r="F1095" i="1"/>
  <c r="F1094" i="1"/>
  <c r="E1095" i="1"/>
  <c r="E1099" i="1" s="1"/>
  <c r="D1095" i="1"/>
  <c r="C1095" i="1"/>
  <c r="B1095" i="1"/>
  <c r="G1094" i="1"/>
  <c r="E1094" i="1"/>
  <c r="D1094" i="1"/>
  <c r="C1094" i="1"/>
  <c r="B1094" i="1"/>
  <c r="B1099" i="1" s="1"/>
  <c r="B1100" i="1" s="1"/>
  <c r="G1090" i="1"/>
  <c r="D1091" i="1"/>
  <c r="C1118" i="1"/>
  <c r="B1091" i="1"/>
  <c r="B1092" i="1"/>
  <c r="G1069" i="1"/>
  <c r="H1069" i="1" s="1"/>
  <c r="F1069" i="1"/>
  <c r="E1069" i="1"/>
  <c r="D1069" i="1"/>
  <c r="C1069" i="1"/>
  <c r="G1068" i="1"/>
  <c r="F1068" i="1"/>
  <c r="E1068" i="1"/>
  <c r="D1068" i="1"/>
  <c r="C1068" i="1"/>
  <c r="B1068" i="1"/>
  <c r="G1067" i="1"/>
  <c r="H1067" i="1" s="1"/>
  <c r="F1067" i="1"/>
  <c r="E1067" i="1"/>
  <c r="D1067" i="1"/>
  <c r="C1067" i="1"/>
  <c r="D1066" i="1"/>
  <c r="D1070" i="1" s="1"/>
  <c r="C1066" i="1"/>
  <c r="B1069" i="1"/>
  <c r="G1066" i="1"/>
  <c r="F1066" i="1"/>
  <c r="E1066" i="1"/>
  <c r="B1037" i="1"/>
  <c r="G1037" i="1"/>
  <c r="F1037" i="1"/>
  <c r="E1037" i="1"/>
  <c r="D1037" i="1"/>
  <c r="C1037" i="1"/>
  <c r="G1035" i="1"/>
  <c r="F1035" i="1"/>
  <c r="E1035" i="1"/>
  <c r="D1035" i="1"/>
  <c r="C1035" i="1"/>
  <c r="B1035" i="1"/>
  <c r="H1018" i="1"/>
  <c r="B1018" i="1"/>
  <c r="H1004" i="1"/>
  <c r="G1118" i="1"/>
  <c r="G1004" i="1"/>
  <c r="G1005" i="1" s="1"/>
  <c r="G1007" i="1" s="1"/>
  <c r="G1018" i="1"/>
  <c r="F1018" i="1"/>
  <c r="E1018" i="1"/>
  <c r="D1018" i="1"/>
  <c r="C1018" i="1"/>
  <c r="D1220" i="1"/>
  <c r="E1220" i="1"/>
  <c r="F1220" i="1" s="1"/>
  <c r="G1220" i="1" s="1"/>
  <c r="D1222" i="1"/>
  <c r="D1195" i="1"/>
  <c r="G1195" i="1"/>
  <c r="G1197" i="1" s="1"/>
  <c r="G1172" i="1" s="1"/>
  <c r="G1174" i="1" s="1"/>
  <c r="C1196" i="1"/>
  <c r="C1215" i="1"/>
  <c r="G1196" i="1"/>
  <c r="G1215" i="1" s="1"/>
  <c r="H1066" i="1"/>
  <c r="B1214" i="1"/>
  <c r="B1223" i="1" s="1"/>
  <c r="C1070" i="1"/>
  <c r="G1091" i="1"/>
  <c r="G1092" i="1"/>
  <c r="F1070" i="1"/>
  <c r="C1090" i="1"/>
  <c r="D1090" i="1"/>
  <c r="D1092" i="1"/>
  <c r="E1004" i="1"/>
  <c r="E1005" i="1" s="1"/>
  <c r="F1118" i="1"/>
  <c r="E1118" i="1"/>
  <c r="D1118" i="1"/>
  <c r="B1172" i="1"/>
  <c r="B1174" i="1" s="1"/>
  <c r="B1175" i="1" s="1"/>
  <c r="E1007" i="1"/>
  <c r="E1034" i="1" s="1"/>
  <c r="E1058" i="1" s="1"/>
  <c r="E1061" i="1" s="1"/>
  <c r="I993" i="1"/>
  <c r="F1107" i="1" s="1"/>
  <c r="E1060" i="1"/>
  <c r="D1180" i="1" l="1"/>
  <c r="D1124" i="1"/>
  <c r="G1034" i="1"/>
  <c r="G1017" i="1"/>
  <c r="G1019" i="1" s="1"/>
  <c r="F1020" i="1" s="1"/>
  <c r="C1100" i="1"/>
  <c r="D327" i="1"/>
  <c r="C40" i="1"/>
  <c r="C75" i="1"/>
  <c r="G75" i="1"/>
  <c r="F75" i="1"/>
  <c r="B75" i="1"/>
  <c r="D75" i="1"/>
  <c r="E75" i="1"/>
  <c r="G1180" i="1"/>
  <c r="G1124" i="1"/>
  <c r="C1195" i="1"/>
  <c r="C1197" i="1" s="1"/>
  <c r="C1172" i="1" s="1"/>
  <c r="C1174" i="1" s="1"/>
  <c r="D1196" i="1"/>
  <c r="D1215" i="1" s="1"/>
  <c r="E205" i="2"/>
  <c r="D313" i="2"/>
  <c r="D316" i="2" s="1"/>
  <c r="B1180" i="1"/>
  <c r="B1124" i="1"/>
  <c r="B320" i="1"/>
  <c r="F336" i="2"/>
  <c r="F334" i="2" s="1"/>
  <c r="F327" i="2"/>
  <c r="B320" i="2"/>
  <c r="B336" i="2" s="1"/>
  <c r="B334" i="2" s="1"/>
  <c r="C330" i="2"/>
  <c r="D68" i="1"/>
  <c r="F68" i="1"/>
  <c r="C68" i="1"/>
  <c r="G68" i="1"/>
  <c r="D1197" i="1"/>
  <c r="D1172" i="1" s="1"/>
  <c r="D1174" i="1" s="1"/>
  <c r="E206" i="2"/>
  <c r="E313" i="2"/>
  <c r="E316" i="2" s="1"/>
  <c r="E347" i="2"/>
  <c r="E344" i="2" s="1"/>
  <c r="G347" i="2"/>
  <c r="G344" i="2" s="1"/>
  <c r="F347" i="2"/>
  <c r="F344" i="2" s="1"/>
  <c r="D86" i="2"/>
  <c r="D188" i="2"/>
  <c r="E94" i="1"/>
  <c r="E353" i="1"/>
  <c r="E354" i="1"/>
  <c r="G313" i="2"/>
  <c r="G316" i="2" s="1"/>
  <c r="E208" i="2"/>
  <c r="E1070" i="1"/>
  <c r="H1068" i="1"/>
  <c r="G336" i="2"/>
  <c r="C70" i="2"/>
  <c r="D194" i="2"/>
  <c r="F94" i="2" s="1"/>
  <c r="E87" i="2"/>
  <c r="D352" i="1"/>
  <c r="E1036" i="1"/>
  <c r="E1038" i="1" s="1"/>
  <c r="E1178" i="1" s="1"/>
  <c r="E1017" i="1"/>
  <c r="E1019" i="1" s="1"/>
  <c r="D1020" i="1" s="1"/>
  <c r="E1222" i="1"/>
  <c r="F1222" i="1" s="1"/>
  <c r="G1222" i="1" s="1"/>
  <c r="C326" i="1"/>
  <c r="C325" i="1" s="1"/>
  <c r="D1007" i="1"/>
  <c r="D342" i="2"/>
  <c r="B57" i="2"/>
  <c r="B60" i="2" s="1"/>
  <c r="C54" i="2"/>
  <c r="C57" i="2" s="1"/>
  <c r="B71" i="2"/>
  <c r="B88" i="2"/>
  <c r="D195" i="2"/>
  <c r="D94" i="2" s="1"/>
  <c r="G59" i="1"/>
  <c r="G60" i="1" s="1"/>
  <c r="G352" i="1"/>
  <c r="G327" i="1"/>
  <c r="C355" i="2"/>
  <c r="C354" i="2" s="1"/>
  <c r="D355" i="2"/>
  <c r="D354" i="2" s="1"/>
  <c r="E355" i="2"/>
  <c r="F1005" i="1"/>
  <c r="F1007" i="1" s="1"/>
  <c r="F1004" i="1"/>
  <c r="E68" i="1"/>
  <c r="G54" i="2"/>
  <c r="G57" i="2" s="1"/>
  <c r="F71" i="2"/>
  <c r="G93" i="2"/>
  <c r="C232" i="1"/>
  <c r="E1059" i="1"/>
  <c r="E1062" i="1"/>
  <c r="B1250" i="1"/>
  <c r="G1070" i="1"/>
  <c r="H1070" i="1" s="1"/>
  <c r="G354" i="1"/>
  <c r="F330" i="2"/>
  <c r="E320" i="2"/>
  <c r="E336" i="2" s="1"/>
  <c r="E334" i="2" s="1"/>
  <c r="C353" i="2"/>
  <c r="F357" i="2"/>
  <c r="B57" i="1"/>
  <c r="B60" i="1" s="1"/>
  <c r="F1092" i="1"/>
  <c r="E344" i="1"/>
  <c r="D320" i="1"/>
  <c r="B1004" i="1"/>
  <c r="B1005" i="1" s="1"/>
  <c r="B1007" i="1" s="1"/>
  <c r="D353" i="2"/>
  <c r="D327" i="2"/>
  <c r="E357" i="2"/>
  <c r="B75" i="2"/>
  <c r="C40" i="2"/>
  <c r="C75" i="2"/>
  <c r="G75" i="2"/>
  <c r="D75" i="2"/>
  <c r="F75" i="2"/>
  <c r="E93" i="2"/>
  <c r="E343" i="2"/>
  <c r="B86" i="2"/>
  <c r="C95" i="2"/>
  <c r="G358" i="1"/>
  <c r="F358" i="1"/>
  <c r="F354" i="1" s="1"/>
  <c r="F1090" i="1"/>
  <c r="E1195" i="1"/>
  <c r="E1197" i="1" s="1"/>
  <c r="E1172" i="1" s="1"/>
  <c r="E1174" i="1" s="1"/>
  <c r="H1005" i="1"/>
  <c r="H1007" i="1" s="1"/>
  <c r="H1017" i="1" s="1"/>
  <c r="H1019" i="1" s="1"/>
  <c r="G1020" i="1" s="1"/>
  <c r="G1021" i="1" s="1"/>
  <c r="E1090" i="1"/>
  <c r="E1091" i="1"/>
  <c r="E1092" i="1" s="1"/>
  <c r="E1100" i="1" s="1"/>
  <c r="D356" i="1"/>
  <c r="D354" i="1" s="1"/>
  <c r="F344" i="1"/>
  <c r="F54" i="2"/>
  <c r="F57" i="2" s="1"/>
  <c r="B311" i="2"/>
  <c r="F1099" i="1"/>
  <c r="E356" i="1"/>
  <c r="C1004" i="1"/>
  <c r="C1005" i="1" s="1"/>
  <c r="C1007" i="1" s="1"/>
  <c r="C60" i="1"/>
  <c r="C354" i="1"/>
  <c r="E320" i="1"/>
  <c r="C343" i="2"/>
  <c r="F94" i="1"/>
  <c r="D86" i="1"/>
  <c r="D114" i="1" s="1"/>
  <c r="E95" i="1"/>
  <c r="C345" i="1"/>
  <c r="C344" i="1" s="1"/>
  <c r="E93" i="1"/>
  <c r="B67" i="1"/>
  <c r="B70" i="1" s="1"/>
  <c r="C67" i="1"/>
  <c r="C70" i="1" s="1"/>
  <c r="D67" i="1"/>
  <c r="D37" i="1"/>
  <c r="D336" i="2"/>
  <c r="D334" i="2" s="1"/>
  <c r="A215" i="2"/>
  <c r="A211" i="2"/>
  <c r="F54" i="1"/>
  <c r="F57" i="1" s="1"/>
  <c r="E107" i="1"/>
  <c r="D93" i="1"/>
  <c r="E1124" i="1" l="1"/>
  <c r="E1180" i="1"/>
  <c r="C1017" i="1"/>
  <c r="C1019" i="1" s="1"/>
  <c r="B1020" i="1" s="1"/>
  <c r="C1034" i="1"/>
  <c r="F340" i="2"/>
  <c r="F59" i="2"/>
  <c r="F60" i="2" s="1"/>
  <c r="F352" i="2"/>
  <c r="G61" i="1"/>
  <c r="G62" i="1" s="1"/>
  <c r="D340" i="2"/>
  <c r="D59" i="2"/>
  <c r="D60" i="2" s="1"/>
  <c r="D352" i="2"/>
  <c r="B1034" i="1"/>
  <c r="B1017" i="1"/>
  <c r="B1019" i="1" s="1"/>
  <c r="B1022" i="1" s="1"/>
  <c r="G58" i="2"/>
  <c r="G342" i="2"/>
  <c r="E352" i="1"/>
  <c r="E340" i="1"/>
  <c r="E59" i="1"/>
  <c r="B61" i="1"/>
  <c r="B62" i="1"/>
  <c r="B118" i="1" s="1"/>
  <c r="D198" i="2"/>
  <c r="E342" i="2"/>
  <c r="E58" i="2"/>
  <c r="E204" i="1"/>
  <c r="C313" i="1"/>
  <c r="C316" i="1" s="1"/>
  <c r="F358" i="2"/>
  <c r="F354" i="2" s="1"/>
  <c r="G358" i="2"/>
  <c r="G354" i="2" s="1"/>
  <c r="G94" i="2"/>
  <c r="G1036" i="1"/>
  <c r="G1038" i="1" s="1"/>
  <c r="G1178" i="1" s="1"/>
  <c r="G1058" i="1"/>
  <c r="C329" i="2"/>
  <c r="C361" i="2"/>
  <c r="E361" i="2"/>
  <c r="F361" i="2"/>
  <c r="G361" i="2"/>
  <c r="D361" i="2"/>
  <c r="E204" i="2"/>
  <c r="C313" i="2"/>
  <c r="C316" i="2" s="1"/>
  <c r="C336" i="2" s="1"/>
  <c r="C334" i="2" s="1"/>
  <c r="E353" i="2"/>
  <c r="E354" i="2"/>
  <c r="E94" i="2"/>
  <c r="F1100" i="1"/>
  <c r="B257" i="2"/>
  <c r="E329" i="1"/>
  <c r="B61" i="2"/>
  <c r="D199" i="1"/>
  <c r="D58" i="1"/>
  <c r="D60" i="1" s="1"/>
  <c r="D198" i="1"/>
  <c r="D342" i="1"/>
  <c r="F1017" i="1"/>
  <c r="F1019" i="1" s="1"/>
  <c r="E1020" i="1" s="1"/>
  <c r="F1034" i="1"/>
  <c r="B106" i="1"/>
  <c r="C106" i="1" s="1"/>
  <c r="E203" i="1"/>
  <c r="B313" i="1"/>
  <c r="B316" i="1" s="1"/>
  <c r="B336" i="1" s="1"/>
  <c r="B334" i="1" s="1"/>
  <c r="F76" i="2"/>
  <c r="F79" i="2" s="1"/>
  <c r="C76" i="2"/>
  <c r="C79" i="2" s="1"/>
  <c r="E76" i="2"/>
  <c r="E79" i="2" s="1"/>
  <c r="B76" i="2"/>
  <c r="G76" i="2"/>
  <c r="D76" i="2"/>
  <c r="C336" i="1"/>
  <c r="C334" i="1" s="1"/>
  <c r="C79" i="1"/>
  <c r="C318" i="1" s="1"/>
  <c r="B79" i="2"/>
  <c r="B76" i="1"/>
  <c r="B112" i="1" s="1"/>
  <c r="G76" i="1"/>
  <c r="C76" i="1"/>
  <c r="E76" i="1"/>
  <c r="E79" i="1" s="1"/>
  <c r="E318" i="1" s="1"/>
  <c r="D76" i="1"/>
  <c r="F76" i="1"/>
  <c r="G69" i="1"/>
  <c r="G70" i="1" s="1"/>
  <c r="F69" i="1"/>
  <c r="F70" i="1" s="1"/>
  <c r="D69" i="1"/>
  <c r="E69" i="1"/>
  <c r="E70" i="1" s="1"/>
  <c r="C61" i="1"/>
  <c r="C62" i="1" s="1"/>
  <c r="C1124" i="1"/>
  <c r="C1180" i="1"/>
  <c r="E58" i="1"/>
  <c r="E60" i="1" s="1"/>
  <c r="E342" i="1"/>
  <c r="G334" i="2"/>
  <c r="D70" i="1"/>
  <c r="F352" i="1"/>
  <c r="F59" i="1"/>
  <c r="F60" i="1" s="1"/>
  <c r="F340" i="1"/>
  <c r="C94" i="2"/>
  <c r="E1063" i="1"/>
  <c r="E1071" i="1" s="1"/>
  <c r="E1179" i="1" s="1"/>
  <c r="D1017" i="1"/>
  <c r="D1019" i="1" s="1"/>
  <c r="C1020" i="1" s="1"/>
  <c r="D1034" i="1"/>
  <c r="F79" i="1"/>
  <c r="F318" i="1" s="1"/>
  <c r="F318" i="2" l="1"/>
  <c r="F338" i="2" s="1"/>
  <c r="F80" i="2"/>
  <c r="F61" i="1"/>
  <c r="F62" i="1" s="1"/>
  <c r="E207" i="1"/>
  <c r="F313" i="1"/>
  <c r="F316" i="1" s="1"/>
  <c r="F336" i="1" s="1"/>
  <c r="F334" i="1" s="1"/>
  <c r="F338" i="1" s="1"/>
  <c r="F80" i="1"/>
  <c r="F61" i="2"/>
  <c r="F62" i="2"/>
  <c r="E313" i="1"/>
  <c r="E316" i="1" s="1"/>
  <c r="E336" i="1" s="1"/>
  <c r="E334" i="1" s="1"/>
  <c r="E338" i="1" s="1"/>
  <c r="E80" i="1"/>
  <c r="E206" i="1"/>
  <c r="C112" i="1"/>
  <c r="C318" i="2"/>
  <c r="C80" i="2"/>
  <c r="E318" i="2"/>
  <c r="E338" i="2" s="1"/>
  <c r="E80" i="2"/>
  <c r="E61" i="1"/>
  <c r="E62" i="1" s="1"/>
  <c r="B1247" i="1"/>
  <c r="G1022" i="1"/>
  <c r="G1023" i="1" s="1"/>
  <c r="G1025" i="1" s="1"/>
  <c r="G1203" i="1" s="1"/>
  <c r="B62" i="2"/>
  <c r="E340" i="2"/>
  <c r="E59" i="2"/>
  <c r="E352" i="2"/>
  <c r="D1021" i="1"/>
  <c r="D1023" i="1" s="1"/>
  <c r="D1025" i="1" s="1"/>
  <c r="D1203" i="1" s="1"/>
  <c r="B1058" i="1"/>
  <c r="B1036" i="1"/>
  <c r="B1038" i="1" s="1"/>
  <c r="B1178" i="1" s="1"/>
  <c r="F1021" i="1"/>
  <c r="F1023" i="1" s="1"/>
  <c r="F1025" i="1" s="1"/>
  <c r="F1203" i="1" s="1"/>
  <c r="C340" i="2"/>
  <c r="C59" i="2"/>
  <c r="C60" i="2" s="1"/>
  <c r="C352" i="2"/>
  <c r="D199" i="2"/>
  <c r="G313" i="1"/>
  <c r="G316" i="1" s="1"/>
  <c r="G336" i="1" s="1"/>
  <c r="G334" i="1" s="1"/>
  <c r="E208" i="1"/>
  <c r="C338" i="1"/>
  <c r="F1180" i="1"/>
  <c r="F1124" i="1"/>
  <c r="G1062" i="1"/>
  <c r="G1061" i="1"/>
  <c r="G1059" i="1"/>
  <c r="G1060" i="1"/>
  <c r="C80" i="1"/>
  <c r="E1022" i="1"/>
  <c r="B177" i="2"/>
  <c r="D257" i="2" s="1"/>
  <c r="B113" i="1"/>
  <c r="C113" i="1" s="1"/>
  <c r="C1218" i="1"/>
  <c r="D1218" i="1" s="1"/>
  <c r="E1218" i="1" s="1"/>
  <c r="F1218" i="1" s="1"/>
  <c r="G1218" i="1" s="1"/>
  <c r="C1022" i="1"/>
  <c r="B1021" i="1"/>
  <c r="B1023" i="1" s="1"/>
  <c r="B1025" i="1" s="1"/>
  <c r="B1203" i="1" s="1"/>
  <c r="F1036" i="1"/>
  <c r="F1038" i="1" s="1"/>
  <c r="F1178" i="1" s="1"/>
  <c r="F1058" i="1"/>
  <c r="D1058" i="1"/>
  <c r="D1036" i="1"/>
  <c r="D1038" i="1" s="1"/>
  <c r="D1178" i="1" s="1"/>
  <c r="E1021" i="1"/>
  <c r="F1022" i="1"/>
  <c r="C1021" i="1"/>
  <c r="C1023" i="1" s="1"/>
  <c r="C1025" i="1" s="1"/>
  <c r="C1203" i="1" s="1"/>
  <c r="D1022" i="1"/>
  <c r="E205" i="1"/>
  <c r="D313" i="1"/>
  <c r="D316" i="1" s="1"/>
  <c r="D336" i="1" s="1"/>
  <c r="D334" i="1" s="1"/>
  <c r="B318" i="2"/>
  <c r="B338" i="2" s="1"/>
  <c r="B80" i="2"/>
  <c r="C210" i="2" s="1"/>
  <c r="B98" i="2" s="1"/>
  <c r="C97" i="2" s="1"/>
  <c r="B177" i="1"/>
  <c r="D257" i="1" s="1"/>
  <c r="C338" i="2"/>
  <c r="C118" i="1"/>
  <c r="C1058" i="1"/>
  <c r="C1036" i="1"/>
  <c r="C1038" i="1" s="1"/>
  <c r="C1178" i="1" s="1"/>
  <c r="B257" i="1"/>
  <c r="B79" i="1"/>
  <c r="D106" i="1"/>
  <c r="E106" i="1" s="1"/>
  <c r="F106" i="1" s="1"/>
  <c r="G106" i="1" s="1"/>
  <c r="D61" i="1"/>
  <c r="D78" i="1" s="1"/>
  <c r="D79" i="1" s="1"/>
  <c r="G340" i="2"/>
  <c r="G352" i="2"/>
  <c r="G59" i="2"/>
  <c r="G60" i="2" s="1"/>
  <c r="E60" i="2"/>
  <c r="D61" i="2"/>
  <c r="D62" i="2" s="1"/>
  <c r="D318" i="1" l="1"/>
  <c r="D80" i="1"/>
  <c r="E61" i="2"/>
  <c r="G78" i="2" s="1"/>
  <c r="G79" i="2" s="1"/>
  <c r="C211" i="2"/>
  <c r="D97" i="2" s="1"/>
  <c r="C311" i="2"/>
  <c r="F1060" i="1"/>
  <c r="F1059" i="1"/>
  <c r="F1061" i="1"/>
  <c r="H1061" i="1" s="1"/>
  <c r="F1062" i="1"/>
  <c r="H1062" i="1" s="1"/>
  <c r="B1208" i="1"/>
  <c r="B1251" i="1" s="1"/>
  <c r="G1204" i="1"/>
  <c r="G1206" i="1" s="1"/>
  <c r="G1177" i="1" s="1"/>
  <c r="C119" i="1"/>
  <c r="D112" i="1"/>
  <c r="G62" i="2"/>
  <c r="G61" i="2"/>
  <c r="B318" i="1"/>
  <c r="B338" i="1" s="1"/>
  <c r="C257" i="1"/>
  <c r="B260" i="1" s="1"/>
  <c r="B80" i="1"/>
  <c r="C210" i="1" s="1"/>
  <c r="B98" i="1" s="1"/>
  <c r="C1205" i="1"/>
  <c r="C1226" i="1" s="1"/>
  <c r="B1204" i="1"/>
  <c r="B1206" i="1" s="1"/>
  <c r="D62" i="1"/>
  <c r="D118" i="1"/>
  <c r="E118" i="1" s="1"/>
  <c r="F118" i="1" s="1"/>
  <c r="G118" i="1" s="1"/>
  <c r="D1204" i="1"/>
  <c r="D1206" i="1" s="1"/>
  <c r="D1177" i="1" s="1"/>
  <c r="E1205" i="1"/>
  <c r="E1226" i="1" s="1"/>
  <c r="D338" i="1"/>
  <c r="C1060" i="1"/>
  <c r="C1062" i="1"/>
  <c r="C1059" i="1"/>
  <c r="C1061" i="1"/>
  <c r="C61" i="2"/>
  <c r="D78" i="2" s="1"/>
  <c r="D79" i="2" s="1"/>
  <c r="C1204" i="1"/>
  <c r="D1205" i="1"/>
  <c r="D1226" i="1" s="1"/>
  <c r="H1058" i="1"/>
  <c r="B1062" i="1"/>
  <c r="B1060" i="1"/>
  <c r="B1061" i="1"/>
  <c r="B1059" i="1"/>
  <c r="B1063" i="1" s="1"/>
  <c r="B1071" i="1" s="1"/>
  <c r="B1179" i="1" s="1"/>
  <c r="E1023" i="1"/>
  <c r="E1025" i="1" s="1"/>
  <c r="E1203" i="1" s="1"/>
  <c r="C714" i="1"/>
  <c r="C702" i="1"/>
  <c r="C718" i="1"/>
  <c r="C698" i="1"/>
  <c r="C700" i="1"/>
  <c r="C732" i="1"/>
  <c r="C734" i="1"/>
  <c r="C368" i="1"/>
  <c r="C726" i="1"/>
  <c r="C716" i="1"/>
  <c r="C710" i="1"/>
  <c r="C730" i="1"/>
  <c r="C724" i="1"/>
  <c r="C704" i="1"/>
  <c r="C708" i="1"/>
  <c r="C728" i="1"/>
  <c r="C712" i="1"/>
  <c r="C696" i="1"/>
  <c r="C706" i="1"/>
  <c r="C720" i="1"/>
  <c r="C722" i="1"/>
  <c r="D1061" i="1"/>
  <c r="D1060" i="1"/>
  <c r="H1060" i="1" s="1"/>
  <c r="D1059" i="1"/>
  <c r="D1062" i="1"/>
  <c r="G1063" i="1"/>
  <c r="G1205" i="1"/>
  <c r="G1226" i="1" s="1"/>
  <c r="F1204" i="1"/>
  <c r="G78" i="1"/>
  <c r="G79" i="1" s="1"/>
  <c r="E113" i="1"/>
  <c r="F113" i="1" s="1"/>
  <c r="B119" i="1"/>
  <c r="C62" i="2" l="1"/>
  <c r="B1238" i="1"/>
  <c r="B1177" i="1"/>
  <c r="B1183" i="1" s="1"/>
  <c r="B1184" i="1" s="1"/>
  <c r="B103" i="1"/>
  <c r="B110" i="1" s="1"/>
  <c r="C97" i="1"/>
  <c r="E62" i="2"/>
  <c r="C212" i="2"/>
  <c r="D98" i="2" s="1"/>
  <c r="E97" i="2" s="1"/>
  <c r="D311" i="2"/>
  <c r="H1059" i="1"/>
  <c r="D318" i="2"/>
  <c r="D338" i="2" s="1"/>
  <c r="D80" i="2"/>
  <c r="C257" i="2"/>
  <c r="B260" i="2" s="1"/>
  <c r="G1071" i="1"/>
  <c r="G1179" i="1" s="1"/>
  <c r="G1183" i="1" s="1"/>
  <c r="E1204" i="1"/>
  <c r="E1206" i="1" s="1"/>
  <c r="E1177" i="1" s="1"/>
  <c r="E1183" i="1" s="1"/>
  <c r="F1205" i="1"/>
  <c r="F1226" i="1" s="1"/>
  <c r="D1063" i="1"/>
  <c r="D1071" i="1" s="1"/>
  <c r="D1179" i="1" s="1"/>
  <c r="D1183" i="1" s="1"/>
  <c r="C1063" i="1"/>
  <c r="C1071" i="1" s="1"/>
  <c r="C1179" i="1" s="1"/>
  <c r="C1183" i="1" s="1"/>
  <c r="F1063" i="1"/>
  <c r="F1071" i="1" s="1"/>
  <c r="F1179" i="1" s="1"/>
  <c r="G318" i="1"/>
  <c r="G338" i="1" s="1"/>
  <c r="G80" i="1"/>
  <c r="G318" i="2"/>
  <c r="G338" i="2" s="1"/>
  <c r="G80" i="2"/>
  <c r="C1206" i="1"/>
  <c r="C1177" i="1" s="1"/>
  <c r="E112" i="1"/>
  <c r="D119" i="1"/>
  <c r="B1188" i="1" l="1"/>
  <c r="B1186" i="1"/>
  <c r="E119" i="1"/>
  <c r="F112" i="1"/>
  <c r="F1206" i="1"/>
  <c r="F1177" i="1" s="1"/>
  <c r="H1063" i="1"/>
  <c r="H1071" i="1" s="1"/>
  <c r="I1073" i="1" s="1"/>
  <c r="E311" i="2"/>
  <c r="C213" i="2"/>
  <c r="E98" i="2" s="1"/>
  <c r="F97" i="2" s="1"/>
  <c r="C211" i="1"/>
  <c r="C98" i="1" s="1"/>
  <c r="C311" i="1"/>
  <c r="F1183" i="1"/>
  <c r="F311" i="2" l="1"/>
  <c r="C214" i="2"/>
  <c r="F98" i="2" s="1"/>
  <c r="G97" i="2" s="1"/>
  <c r="G112" i="1"/>
  <c r="G119" i="1" s="1"/>
  <c r="F119" i="1"/>
  <c r="G1122" i="1"/>
  <c r="F1105" i="1"/>
  <c r="F1106" i="1" s="1"/>
  <c r="B1122" i="1"/>
  <c r="C1122" i="1"/>
  <c r="F1122" i="1"/>
  <c r="D1122" i="1"/>
  <c r="E1122" i="1"/>
  <c r="D97" i="1"/>
  <c r="C103" i="1"/>
  <c r="C110" i="1" s="1"/>
  <c r="C1187" i="1"/>
  <c r="C1126" i="1" s="1"/>
  <c r="C1227" i="1"/>
  <c r="B1189" i="1"/>
  <c r="C1170" i="1"/>
  <c r="C212" i="1" l="1"/>
  <c r="D98" i="1" s="1"/>
  <c r="D311" i="1"/>
  <c r="C1213" i="1"/>
  <c r="C1223" i="1" s="1"/>
  <c r="C1175" i="1"/>
  <c r="C1184" i="1" s="1"/>
  <c r="G311" i="2"/>
  <c r="C215" i="2"/>
  <c r="G98" i="2" s="1"/>
  <c r="E1120" i="1"/>
  <c r="E1121" i="1" s="1"/>
  <c r="E1123" i="1" s="1"/>
  <c r="E1125" i="1" s="1"/>
  <c r="F1120" i="1"/>
  <c r="F1121" i="1" s="1"/>
  <c r="F1123" i="1" s="1"/>
  <c r="F1125" i="1" s="1"/>
  <c r="G1120" i="1"/>
  <c r="G1121" i="1" s="1"/>
  <c r="G1123" i="1" s="1"/>
  <c r="G1125" i="1" s="1"/>
  <c r="C1120" i="1"/>
  <c r="C1121" i="1" s="1"/>
  <c r="C1123" i="1" s="1"/>
  <c r="C1125" i="1" s="1"/>
  <c r="B1120" i="1"/>
  <c r="F1108" i="1"/>
  <c r="D1120" i="1"/>
  <c r="D1121" i="1" s="1"/>
  <c r="D1123" i="1" s="1"/>
  <c r="D1125" i="1" s="1"/>
  <c r="C1217" i="1"/>
  <c r="D1217" i="1" s="1"/>
  <c r="E1217" i="1" s="1"/>
  <c r="F1217" i="1" s="1"/>
  <c r="G1217" i="1" s="1"/>
  <c r="B1190" i="1"/>
  <c r="B1127" i="1"/>
  <c r="C1186" i="1" l="1"/>
  <c r="C1188" i="1"/>
  <c r="B1258" i="1"/>
  <c r="B1249" i="1"/>
  <c r="B1252" i="1" s="1"/>
  <c r="B1121" i="1"/>
  <c r="B1123" i="1" s="1"/>
  <c r="B1125" i="1" s="1"/>
  <c r="B1128" i="1" s="1"/>
  <c r="B1130" i="1" s="1"/>
  <c r="C1230" i="1" s="1"/>
  <c r="E97" i="1"/>
  <c r="D103" i="1"/>
  <c r="D110" i="1" s="1"/>
  <c r="D1187" i="1" l="1"/>
  <c r="D1126" i="1" s="1"/>
  <c r="D1227" i="1"/>
  <c r="C1231" i="1"/>
  <c r="D1170" i="1"/>
  <c r="C1189" i="1"/>
  <c r="C213" i="1"/>
  <c r="E98" i="1" s="1"/>
  <c r="E311" i="1"/>
  <c r="F97" i="1" l="1"/>
  <c r="E103" i="1"/>
  <c r="E110" i="1" s="1"/>
  <c r="C1127" i="1"/>
  <c r="C1128" i="1" s="1"/>
  <c r="C1130" i="1" s="1"/>
  <c r="D1230" i="1" s="1"/>
  <c r="C1190" i="1"/>
  <c r="D1213" i="1"/>
  <c r="D1223" i="1" s="1"/>
  <c r="D1175" i="1"/>
  <c r="D1184" i="1" s="1"/>
  <c r="D1231" i="1" l="1"/>
  <c r="F311" i="1"/>
  <c r="C214" i="1"/>
  <c r="F98" i="1" s="1"/>
  <c r="D1186" i="1"/>
  <c r="D1188" i="1"/>
  <c r="E1170" i="1" l="1"/>
  <c r="D1189" i="1"/>
  <c r="G97" i="1"/>
  <c r="F103" i="1"/>
  <c r="F110" i="1" s="1"/>
  <c r="E1187" i="1"/>
  <c r="E1126" i="1" s="1"/>
  <c r="E1227" i="1"/>
  <c r="G311" i="1" l="1"/>
  <c r="C215" i="1"/>
  <c r="G98" i="1" s="1"/>
  <c r="G103" i="1" s="1"/>
  <c r="G110" i="1" s="1"/>
  <c r="E1231" i="1"/>
  <c r="D1190" i="1"/>
  <c r="D1127" i="1"/>
  <c r="D1128" i="1" s="1"/>
  <c r="D1130" i="1" s="1"/>
  <c r="E1230" i="1" s="1"/>
  <c r="E1213" i="1"/>
  <c r="E1223" i="1" s="1"/>
  <c r="E1175" i="1"/>
  <c r="E1184" i="1" s="1"/>
  <c r="E1186" i="1" l="1"/>
  <c r="E1188" i="1"/>
  <c r="E1189" i="1" l="1"/>
  <c r="F1170" i="1"/>
  <c r="F1187" i="1"/>
  <c r="F1126" i="1" s="1"/>
  <c r="F1227" i="1"/>
  <c r="F1213" i="1" l="1"/>
  <c r="F1223" i="1" s="1"/>
  <c r="F1175" i="1"/>
  <c r="F1184" i="1" s="1"/>
  <c r="E1127" i="1"/>
  <c r="E1128" i="1" s="1"/>
  <c r="E1130" i="1" s="1"/>
  <c r="F1230" i="1" s="1"/>
  <c r="E1190" i="1"/>
  <c r="F1231" i="1" l="1"/>
  <c r="F1186" i="1"/>
  <c r="F1188" i="1" s="1"/>
  <c r="G1170" i="1" l="1"/>
  <c r="F1189" i="1"/>
  <c r="G1187" i="1"/>
  <c r="G1126" i="1" s="1"/>
  <c r="G1227" i="1"/>
  <c r="G1231" i="1" l="1"/>
  <c r="B1236" i="1" s="1"/>
  <c r="G1213" i="1"/>
  <c r="G1223" i="1" s="1"/>
  <c r="G1175" i="1"/>
  <c r="G1184" i="1" s="1"/>
  <c r="F1190" i="1"/>
  <c r="F1127" i="1"/>
  <c r="F1128" i="1" s="1"/>
  <c r="F1130" i="1" s="1"/>
  <c r="G1230" i="1" s="1"/>
  <c r="G1186" i="1" l="1"/>
  <c r="G1188" i="1" s="1"/>
  <c r="G1189" i="1" s="1"/>
  <c r="B1240" i="1"/>
  <c r="B1241" i="1"/>
  <c r="G1190" i="1" l="1"/>
  <c r="B1239" i="1" s="1"/>
  <c r="G1127" i="1"/>
  <c r="G1128" i="1" s="1"/>
  <c r="G1130" i="1" s="1"/>
  <c r="B1242" i="1"/>
</calcChain>
</file>

<file path=xl/sharedStrings.xml><?xml version="1.0" encoding="utf-8"?>
<sst xmlns="http://schemas.openxmlformats.org/spreadsheetml/2006/main" count="2008" uniqueCount="606">
  <si>
    <t>Sales Budget</t>
  </si>
  <si>
    <t>Assumptions :</t>
  </si>
  <si>
    <t>Sales Unit</t>
  </si>
  <si>
    <t>Selling price</t>
  </si>
  <si>
    <t>Revenue</t>
  </si>
  <si>
    <t>Januray</t>
  </si>
  <si>
    <t>Februaray</t>
  </si>
  <si>
    <t>March</t>
  </si>
  <si>
    <t>April</t>
  </si>
  <si>
    <t>May</t>
  </si>
  <si>
    <t>June</t>
  </si>
  <si>
    <t>Production Budget</t>
  </si>
  <si>
    <t>Assumptions:</t>
  </si>
  <si>
    <t>Desired Ending Inventory of finished goods is</t>
  </si>
  <si>
    <t>Sale of finished goods</t>
  </si>
  <si>
    <t>Desired Ending inventory of Finished Goods</t>
  </si>
  <si>
    <t>Total Finished Goods Requirements</t>
  </si>
  <si>
    <t>Expected Beginning inventory of Finished Goods</t>
  </si>
  <si>
    <t>Required Production Units</t>
  </si>
  <si>
    <t>January</t>
  </si>
  <si>
    <t>February</t>
  </si>
  <si>
    <t>percent of next quarters sales</t>
  </si>
  <si>
    <t>Direct Materials Budget</t>
  </si>
  <si>
    <t>Desired ending inventory of direct materials is</t>
  </si>
  <si>
    <t>percent of next quarters production requirements</t>
  </si>
  <si>
    <t>Required Units to be Produced</t>
  </si>
  <si>
    <t>Direct Materials Required per Unit</t>
  </si>
  <si>
    <t>Required materials for production</t>
  </si>
  <si>
    <t>Desired Ending Direct Materials Inventory</t>
  </si>
  <si>
    <t>Total Direct Materials Required</t>
  </si>
  <si>
    <t>Expected Beginning Direct Materials Inventory</t>
  </si>
  <si>
    <t>Required Purchases of Direct Materials</t>
  </si>
  <si>
    <t>Cost per pound of direct materials</t>
  </si>
  <si>
    <t>Total cost of required purchases of direct materials</t>
  </si>
  <si>
    <t>Direct Material cost per pound is Rs</t>
  </si>
  <si>
    <t>Pounds of direct material required to manufacture each finished goods is</t>
  </si>
  <si>
    <t>July</t>
  </si>
  <si>
    <t>Direct Labour Budget</t>
  </si>
  <si>
    <t>Hours of Direct Labour required to manufacture each finished good is</t>
  </si>
  <si>
    <t>Direct Labour cost per hour is</t>
  </si>
  <si>
    <t>Direct Labor hours Required per Unit</t>
  </si>
  <si>
    <t>Total cost of required direct labor</t>
  </si>
  <si>
    <t>Cost per hour of direct labor</t>
  </si>
  <si>
    <t>Required direct labor hours for production</t>
  </si>
  <si>
    <t>Manufacturing Overhead Budget</t>
  </si>
  <si>
    <t>Manufacturing Overhead Budget iis applied on the basis of direct labor Hours</t>
  </si>
  <si>
    <t>Variable Manufacturing Overhead:</t>
  </si>
  <si>
    <t>Indirect Labor</t>
  </si>
  <si>
    <t>Utilities</t>
  </si>
  <si>
    <t>Fixed Manufacturing Overhead:</t>
  </si>
  <si>
    <t>Supervisory salaries</t>
  </si>
  <si>
    <t>Property taxes and insurance</t>
  </si>
  <si>
    <t>Maintainence</t>
  </si>
  <si>
    <t>Indirect materials(per direct labor hour) is Rs</t>
  </si>
  <si>
    <t>Indirect Labor(per direct labor hour) is Rs</t>
  </si>
  <si>
    <t>Utilities(per direct labor hour) is Rs</t>
  </si>
  <si>
    <t>Maintenance(per direct labor hour) is Rs</t>
  </si>
  <si>
    <t>Supervisory salaries(per month) is Rs</t>
  </si>
  <si>
    <t>Depreciation of factory equipments(per month) is Rs</t>
  </si>
  <si>
    <t>Property taxes and insurance(per month) is Rs</t>
  </si>
  <si>
    <t>Maintainence(per month) is Rs</t>
  </si>
  <si>
    <t>Variable Manufacturing Overhead Costs :</t>
  </si>
  <si>
    <t>Indirect Materials</t>
  </si>
  <si>
    <t>Total Variable Manufacturing Overhead</t>
  </si>
  <si>
    <t>Fixed Manufacturing Overhead Costs:</t>
  </si>
  <si>
    <t>Depreciation on fcatory Equipment</t>
  </si>
  <si>
    <t>Property Taxes and insurance</t>
  </si>
  <si>
    <t>Maintenace</t>
  </si>
  <si>
    <t>Total Fixed Manufacturing Overhead</t>
  </si>
  <si>
    <t>Total Manufacturing Overhead Costs</t>
  </si>
  <si>
    <t>Selling and Administrative Expense Budget</t>
  </si>
  <si>
    <t>Variable Selling and Administrative costs:</t>
  </si>
  <si>
    <t>Selling Commissions(per unit) is Rs</t>
  </si>
  <si>
    <t>Delivery Charges(per unit) is Rs</t>
  </si>
  <si>
    <t>Fixed Selling and Adminstartive costs:</t>
  </si>
  <si>
    <t>Variable Costs:</t>
  </si>
  <si>
    <t>Selling Commissions</t>
  </si>
  <si>
    <t>Delivery Charges</t>
  </si>
  <si>
    <t>Total Selling Expenses</t>
  </si>
  <si>
    <t>Fixed costs:</t>
  </si>
  <si>
    <t>Adverstising</t>
  </si>
  <si>
    <t>Sales Salaries</t>
  </si>
  <si>
    <t>Office Salaries</t>
  </si>
  <si>
    <t>Depreciation</t>
  </si>
  <si>
    <t>Total Administartive Expenses</t>
  </si>
  <si>
    <t>Total Selling and Administrative Expenses</t>
  </si>
  <si>
    <t>Advertising (per month) is Rs</t>
  </si>
  <si>
    <t>Sales salaries(per month) is Rs</t>
  </si>
  <si>
    <t>Office salaries(per month) is Rs</t>
  </si>
  <si>
    <t>Depreciation(per month) is Rs</t>
  </si>
  <si>
    <t>Property Taxes and Insurance(per month) is Rs</t>
  </si>
  <si>
    <t>Budgeted Income Statement</t>
  </si>
  <si>
    <t>Payments of income taxes(per month) is Rs</t>
  </si>
  <si>
    <t>No interest expensse unless short term borrowing is required which is as determined from the cash budget</t>
  </si>
  <si>
    <t>Sales units</t>
  </si>
  <si>
    <t>Cost of Goods sold</t>
  </si>
  <si>
    <t>Gross Profit</t>
  </si>
  <si>
    <t>Under/Overapplied Overhead</t>
  </si>
  <si>
    <t>Adjusted gross profit</t>
  </si>
  <si>
    <t>Selling and Administrative budget</t>
  </si>
  <si>
    <t>Net Income from Operations</t>
  </si>
  <si>
    <t>Interest Expense</t>
  </si>
  <si>
    <t>Net Income before Income Taxes</t>
  </si>
  <si>
    <t>Income Tax Expense</t>
  </si>
  <si>
    <t>Net Income After Income Taxes</t>
  </si>
  <si>
    <t>Budgeted cost of goods sold</t>
  </si>
  <si>
    <t>Direct Material Cost per Unit(per unit requirements*cost of direct materials)</t>
  </si>
  <si>
    <t>Direct Labor cost per unit(per unit requirements*cost of direct labor)</t>
  </si>
  <si>
    <t>Applied Manufacturing Overhead Unit(per unit activity level * predetermined MO rate)</t>
  </si>
  <si>
    <t>Manufacturing cost per finished goods unit</t>
  </si>
  <si>
    <t>multiply by no of sales units forecsat</t>
  </si>
  <si>
    <t>total</t>
  </si>
  <si>
    <t>Predetermined Manufacturing Overhead rate=</t>
  </si>
  <si>
    <t>Cash Budget</t>
  </si>
  <si>
    <t>Beginning Cash Balance is Rs</t>
  </si>
  <si>
    <t>Desired Minimum Month Cash Balance is Rs</t>
  </si>
  <si>
    <t>Borrowing rule:If expected monthly end cash balance is less than the minimum,the company plans to draw a line of credit In the form ofa note payable for the difference between expected monthly end cash balance and desired minimum cash balance</t>
  </si>
  <si>
    <t>Repayment Rule:Short Term loans are repaid,plus interest,in the earliest month in which there is sufficient cash(ie when cash on hand exceeds the desired minimum required balance</t>
  </si>
  <si>
    <t xml:space="preserve">Cash Receipts from sales: </t>
  </si>
  <si>
    <t>in quarter sold is(percentage)</t>
  </si>
  <si>
    <t>in following quarter(percentage)</t>
  </si>
  <si>
    <t>Accounts recievable of previous year to be collected at full in the first month  is Rs</t>
  </si>
  <si>
    <t>Cash Reciepts from other sources is:</t>
  </si>
  <si>
    <t>in quarter purchased is(percentage)</t>
  </si>
  <si>
    <t>in following quarter is(in percentage)</t>
  </si>
  <si>
    <t>Accounts payable of previous year to be collected at full in the first month of the year is Rs</t>
  </si>
  <si>
    <t>Payment for Direct Labor:</t>
  </si>
  <si>
    <t>Payment for Manufacturing Overhead:</t>
  </si>
  <si>
    <t>All items except depreciation are paid in the month incurred</t>
  </si>
  <si>
    <t>Payments for selling and administrative expenses:</t>
  </si>
  <si>
    <t>Payment fro Income Taxes:</t>
  </si>
  <si>
    <t>Capital Expenditure</t>
  </si>
  <si>
    <t>The extra purchase done is Rs</t>
  </si>
  <si>
    <t>Beginning Cash Balance</t>
  </si>
  <si>
    <t>Cash Receipts:</t>
  </si>
  <si>
    <t>Collections from Customers</t>
  </si>
  <si>
    <t>Sale of Investment</t>
  </si>
  <si>
    <t>Total cash Receipts</t>
  </si>
  <si>
    <t>Total Cash available</t>
  </si>
  <si>
    <t>Cash Payments:</t>
  </si>
  <si>
    <t>Direct Materials</t>
  </si>
  <si>
    <t>Direct Labor</t>
  </si>
  <si>
    <t>Manufacturing Overhead</t>
  </si>
  <si>
    <t>Selling and Admin Expenses</t>
  </si>
  <si>
    <t>Income Tax</t>
  </si>
  <si>
    <t>Total Cash Payments</t>
  </si>
  <si>
    <t>Excess(Defiency)</t>
  </si>
  <si>
    <t>Financing:</t>
  </si>
  <si>
    <t>Borrowings</t>
  </si>
  <si>
    <t>Repayments</t>
  </si>
  <si>
    <t>Ending Cash Balance</t>
  </si>
  <si>
    <t>Schedule of collections</t>
  </si>
  <si>
    <t>Budgeted Sales Revenue</t>
  </si>
  <si>
    <t>Collections from current month sales</t>
  </si>
  <si>
    <t>Collections from one prior month sales</t>
  </si>
  <si>
    <t>may</t>
  </si>
  <si>
    <t>Beginning Accounts Receivable Balance</t>
  </si>
  <si>
    <t>Ending Accounts Receivable Balance</t>
  </si>
  <si>
    <t>Total Cash Collections from Sale</t>
  </si>
  <si>
    <t>short term investments are expected to be sold for is Rs</t>
  </si>
  <si>
    <t>Payment for Direct Materials:</t>
  </si>
  <si>
    <t>Schedule of Payments on accounts</t>
  </si>
  <si>
    <t>Budgeted Purchases of Direct Materials</t>
  </si>
  <si>
    <t>Payments for one prior month purchases of direct material</t>
  </si>
  <si>
    <t>Payments fro current month purchases of direct material</t>
  </si>
  <si>
    <t>Total Cash Payments fro Purchases</t>
  </si>
  <si>
    <t>Beginnings Accounts Payable Balance</t>
  </si>
  <si>
    <t>Ending Accounts Payable Balance</t>
  </si>
  <si>
    <t>in the quarter incurred is 100 percentage</t>
  </si>
  <si>
    <t>Monthly payment done and value is Rs</t>
  </si>
  <si>
    <t>Extra Purchase</t>
  </si>
  <si>
    <t>Budgeted Balance Sheet</t>
  </si>
  <si>
    <t>Assets:</t>
  </si>
  <si>
    <t>Cash</t>
  </si>
  <si>
    <t>Marketable Securities</t>
  </si>
  <si>
    <t>Accounts Receivable</t>
  </si>
  <si>
    <t>Inventories:</t>
  </si>
  <si>
    <t>Finished Goods Inventory</t>
  </si>
  <si>
    <t>Raw Materials Inventory</t>
  </si>
  <si>
    <t>Factory Assets</t>
  </si>
  <si>
    <t>Accum Depr-Factory Assets</t>
  </si>
  <si>
    <t>Non Factory Assets</t>
  </si>
  <si>
    <t>Accum-Depr-Non Factory Assets</t>
  </si>
  <si>
    <t>Total Assets</t>
  </si>
  <si>
    <t>Liabilities and Owners' Equity:</t>
  </si>
  <si>
    <t>Liabilities:</t>
  </si>
  <si>
    <t>Accounts Payable</t>
  </si>
  <si>
    <t>Note Payable</t>
  </si>
  <si>
    <t>Owners' Equity:</t>
  </si>
  <si>
    <t>Common Stock</t>
  </si>
  <si>
    <t>Total Liabilities and Owners' Equity</t>
  </si>
  <si>
    <t>Retained Earnings</t>
  </si>
  <si>
    <t>Interest Received</t>
  </si>
  <si>
    <t>Interest paid cost:Interest cost is(per month,percentage)</t>
  </si>
  <si>
    <t>Interest Received : Interest rate is(per month,percentage)</t>
  </si>
  <si>
    <t>Net Interest Income</t>
  </si>
  <si>
    <t>Total till june</t>
  </si>
  <si>
    <t>Profit Criterion for working capital</t>
  </si>
  <si>
    <t>Initial Investment is</t>
  </si>
  <si>
    <t>Cost of Funds for the year</t>
  </si>
  <si>
    <t>Operating Cycle Analysis</t>
  </si>
  <si>
    <t>Duration of Operating Cycle</t>
  </si>
  <si>
    <t>Cost oft capital is</t>
  </si>
  <si>
    <t>Return for the year</t>
  </si>
  <si>
    <t>Profit per year is</t>
  </si>
  <si>
    <t>Net present value is</t>
  </si>
  <si>
    <t>Present value of the annual return of (return for the year) for a period of n years</t>
  </si>
  <si>
    <t>Present value of the liquidation value of P realised at the end of n years</t>
  </si>
  <si>
    <t xml:space="preserve">Current asset continues of a period of </t>
  </si>
  <si>
    <t>Raw materials and stores storage period</t>
  </si>
  <si>
    <t>Work in process period</t>
  </si>
  <si>
    <t>Finished goods storage period</t>
  </si>
  <si>
    <t>Debtors collection period</t>
  </si>
  <si>
    <t>Creditors payment period</t>
  </si>
  <si>
    <t>Operating cycle</t>
  </si>
  <si>
    <t>Interest Income</t>
  </si>
  <si>
    <t>Calculation of weights</t>
  </si>
  <si>
    <t>in process</t>
  </si>
  <si>
    <t>cogs</t>
  </si>
  <si>
    <t>acc rec</t>
  </si>
  <si>
    <t>acc pay</t>
  </si>
  <si>
    <t>raw mat.</t>
  </si>
  <si>
    <t>interest expense</t>
  </si>
  <si>
    <t>interest income</t>
  </si>
  <si>
    <t>objective equation</t>
  </si>
  <si>
    <t>November</t>
  </si>
  <si>
    <t>December</t>
  </si>
  <si>
    <t>Sales</t>
  </si>
  <si>
    <t>ST Investments</t>
  </si>
  <si>
    <t>Accounts Recievable</t>
  </si>
  <si>
    <t>Inventory</t>
  </si>
  <si>
    <t>Gross fixed Assets</t>
  </si>
  <si>
    <t>Accum. Depreciation</t>
  </si>
  <si>
    <t>Notes Payable</t>
  </si>
  <si>
    <t>Taxes Payable</t>
  </si>
  <si>
    <t>Long erm Debt</t>
  </si>
  <si>
    <t>Exogenous/Enviromental Variables</t>
  </si>
  <si>
    <t>Tax Payment Months,March(3),June(6),September(9),December(12)</t>
  </si>
  <si>
    <t>Tax Rate, T=40%;Rate on existing long term debt=10.5%</t>
  </si>
  <si>
    <t>Expected Term Structure of Interest</t>
  </si>
  <si>
    <t>Investment Instruments</t>
  </si>
  <si>
    <t>Jan</t>
  </si>
  <si>
    <t>Feb</t>
  </si>
  <si>
    <t>Mar</t>
  </si>
  <si>
    <t>Apr</t>
  </si>
  <si>
    <t>Jun</t>
  </si>
  <si>
    <t>30 day Investments</t>
  </si>
  <si>
    <t>Financing Instruments</t>
  </si>
  <si>
    <t>30 day Notes Payable</t>
  </si>
  <si>
    <t>90 day Investments</t>
  </si>
  <si>
    <t>90 day Notes Payable</t>
  </si>
  <si>
    <t>180 day Notes Payable</t>
  </si>
  <si>
    <t>Long Term Debt</t>
  </si>
  <si>
    <t>Policy Variables</t>
  </si>
  <si>
    <t>Month of sale</t>
  </si>
  <si>
    <t>1 Month after</t>
  </si>
  <si>
    <t>2 Months after</t>
  </si>
  <si>
    <t>Collection fraction</t>
  </si>
  <si>
    <t>Payment Fraction</t>
  </si>
  <si>
    <t>Month of Purchase</t>
  </si>
  <si>
    <t>Inventory Policy:</t>
  </si>
  <si>
    <t>Ending Inventory =Next Months COGS</t>
  </si>
  <si>
    <t>Gross Profit Margin</t>
  </si>
  <si>
    <t>Minimum Cash Balance</t>
  </si>
  <si>
    <t>Decision Variables</t>
  </si>
  <si>
    <t>Short Term Borrowing Amount and Maturity,January- June</t>
  </si>
  <si>
    <t>Lng Term Borrowing Amount, Jnauary</t>
  </si>
  <si>
    <t>Projected Income Statement</t>
  </si>
  <si>
    <t>Cost of Goods Sold</t>
  </si>
  <si>
    <t>Opertaing Profit</t>
  </si>
  <si>
    <t>Intersest Expense</t>
  </si>
  <si>
    <t>Profit before Tax</t>
  </si>
  <si>
    <t>Taxes</t>
  </si>
  <si>
    <t>Net Income</t>
  </si>
  <si>
    <t>Projected Cash Budget based on above</t>
  </si>
  <si>
    <t>Cash Reciepts</t>
  </si>
  <si>
    <t>Month Of sale</t>
  </si>
  <si>
    <t>1 Month After sale</t>
  </si>
  <si>
    <t>2 Months after Sale</t>
  </si>
  <si>
    <t>Total Cash  Receipts</t>
  </si>
  <si>
    <t>Purchases</t>
  </si>
  <si>
    <t>Cash Disbursements</t>
  </si>
  <si>
    <t>Month of purchase</t>
  </si>
  <si>
    <t>1 Month after purchase</t>
  </si>
  <si>
    <t>General and Administrative</t>
  </si>
  <si>
    <t>Total Disbursements</t>
  </si>
  <si>
    <t>Operating Net cash flow</t>
  </si>
  <si>
    <t>Investment/Financing Strategy (Decision Variables)</t>
  </si>
  <si>
    <t>CDs(30)</t>
  </si>
  <si>
    <t>CDs(90)</t>
  </si>
  <si>
    <t>N/P(30)</t>
  </si>
  <si>
    <t>N/P(180)</t>
  </si>
  <si>
    <t>N/P(90)</t>
  </si>
  <si>
    <t>LTD</t>
  </si>
  <si>
    <t>Financial Flows (Resulting from Decision Variables)</t>
  </si>
  <si>
    <t>Interest Paid</t>
  </si>
  <si>
    <t>Debt Maturing</t>
  </si>
  <si>
    <t>Maturing Investment</t>
  </si>
  <si>
    <t xml:space="preserve">Beginning Cash </t>
  </si>
  <si>
    <t>Ending Cash balance</t>
  </si>
  <si>
    <t>Projected Balance Sheet</t>
  </si>
  <si>
    <t>Gross Fixed Assets</t>
  </si>
  <si>
    <t>Accum Deppreciation</t>
  </si>
  <si>
    <t>Equity</t>
  </si>
  <si>
    <t>Liabilities &amp; NW</t>
  </si>
  <si>
    <t xml:space="preserve">General And </t>
  </si>
  <si>
    <t>Administartive Depreciation</t>
  </si>
  <si>
    <t>jul</t>
  </si>
  <si>
    <t>LINEAR PROGRAMMING OPTIMIZATION</t>
  </si>
  <si>
    <t>CONSTANTS</t>
  </si>
  <si>
    <t xml:space="preserve"> </t>
  </si>
  <si>
    <t>a1</t>
  </si>
  <si>
    <t>a2</t>
  </si>
  <si>
    <t>a6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</si>
  <si>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</si>
  <si>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</si>
  <si>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</si>
  <si>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</si>
  <si>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</si>
  <si>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</si>
  <si>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</si>
  <si>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</si>
  <si>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</si>
  <si>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</si>
  <si>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</si>
  <si>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</si>
  <si>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</si>
  <si>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</si>
  <si>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</si>
  <si>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</si>
  <si>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</si>
  <si>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VARIABLES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</si>
  <si>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</si>
  <si>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</si>
  <si>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</si>
  <si>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</si>
  <si>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</si>
  <si>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</si>
  <si>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</si>
  <si>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</si>
  <si>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</si>
  <si>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</si>
  <si>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</si>
  <si>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</si>
  <si>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</si>
  <si>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</si>
  <si>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</si>
  <si>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</si>
  <si>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</si>
  <si>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</si>
  <si>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</si>
  <si>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</si>
  <si>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Maximize</t>
  </si>
  <si>
    <t>Z</t>
  </si>
  <si>
    <t>Subject to</t>
  </si>
  <si>
    <t>Interest received=</t>
  </si>
  <si>
    <t>Interest paid=</t>
  </si>
  <si>
    <t>net interest received =</t>
  </si>
  <si>
    <t>net interest paid=</t>
  </si>
  <si>
    <t>&lt;=</t>
  </si>
  <si>
    <t>=</t>
  </si>
  <si>
    <t>30 day @0.08 (CD) Jan</t>
  </si>
  <si>
    <t>30 day @0.09 (CD) Feb</t>
  </si>
  <si>
    <t>30 day @0.1 (CD) Mar</t>
  </si>
  <si>
    <t>30 day @0.095 (CD) Apr</t>
  </si>
  <si>
    <t>30 day @0.09 (CD) May</t>
  </si>
  <si>
    <t>30 day @0.09 (CD) Jun</t>
  </si>
  <si>
    <t>90 day @0.095 (CD) Jan</t>
  </si>
  <si>
    <t>90 day @0.09 (CD) Feb</t>
  </si>
  <si>
    <t>90 day @0.095 (CD) Mar</t>
  </si>
  <si>
    <t>90 day @0.09(CD) Apr</t>
  </si>
  <si>
    <t>30 day @0.09 (N/P) Jan</t>
  </si>
  <si>
    <t>30 day @0.1 (N/P) Feb</t>
  </si>
  <si>
    <t>30 day @0.115 (N/P) Mar</t>
  </si>
  <si>
    <t>30 day @0.11 (N/P) Apr</t>
  </si>
  <si>
    <t>30 day @0.095 (N/P) May</t>
  </si>
  <si>
    <t>90 day @0.095 (N/P) Jan</t>
  </si>
  <si>
    <t>90 day @0.1 (N/P) Feb</t>
  </si>
  <si>
    <t>90 day @0.11 (N/P) Mar</t>
  </si>
  <si>
    <t>90 day @.11(N/P) Apr</t>
  </si>
  <si>
    <t>180 day @.1(N/P) Jan</t>
  </si>
  <si>
    <t>Microsoft Excel 14.0 Answer Report</t>
  </si>
  <si>
    <t>Worksheet: [My Finance Project redeem 56 (Autosaved).xlsx]Sheet1</t>
  </si>
  <si>
    <t>Report Created: 17-02-2013 17:38:53</t>
  </si>
  <si>
    <t>Result: Solver found a solution.  All Constraints and optimality conditions are satisfied.</t>
  </si>
  <si>
    <t>Solver Engine</t>
  </si>
  <si>
    <t>Engine: Simplex LP</t>
  </si>
  <si>
    <t>Solution Time: 0.219 Seconds.</t>
  </si>
  <si>
    <t>Iterations: 15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</si>
  <si>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</si>
  <si>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</si>
  <si>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</si>
  <si>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</si>
  <si>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</si>
  <si>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</si>
  <si>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</si>
  <si>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</si>
  <si>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</si>
  <si>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</si>
  <si>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</si>
  <si>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</si>
  <si>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</si>
  <si>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</si>
  <si>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</si>
  <si>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$B$177</t>
  </si>
  <si>
    <t>Z 180 day @.1(N/P) Jan</t>
  </si>
  <si>
    <t>$C$153</t>
  </si>
  <si>
    <t>30 day @0.08 (CD) Jan Feb</t>
  </si>
  <si>
    <t>Contin</t>
  </si>
  <si>
    <t>$C$154</t>
  </si>
  <si>
    <t>30 day @0.09 (CD) Feb Feb</t>
  </si>
  <si>
    <t>$C$155</t>
  </si>
  <si>
    <t>30 day @0.1 (CD) Mar Feb</t>
  </si>
  <si>
    <t>$C$156</t>
  </si>
  <si>
    <t>30 day @0.095 (CD) Apr Feb</t>
  </si>
  <si>
    <t>$C$157</t>
  </si>
  <si>
    <t>30 day @0.09 (CD) May Feb</t>
  </si>
  <si>
    <t>$C$158</t>
  </si>
  <si>
    <t>30 day @0.09 (CD) Jun Feb</t>
  </si>
  <si>
    <t>$C$159</t>
  </si>
  <si>
    <t>90 day @0.095 (CD) Jan Feb</t>
  </si>
  <si>
    <t>$C$160</t>
  </si>
  <si>
    <t>90 day @0.09 (CD) Feb Feb</t>
  </si>
  <si>
    <t>$C$161</t>
  </si>
  <si>
    <t>90 day @0.095 (CD) Mar Feb</t>
  </si>
  <si>
    <t>$C$162</t>
  </si>
  <si>
    <t>90 day @0.09(CD) Apr Feb</t>
  </si>
  <si>
    <t>$C$163</t>
  </si>
  <si>
    <t>30 day @0.09 (N/P) Jan Feb</t>
  </si>
  <si>
    <t>$C$164</t>
  </si>
  <si>
    <t>30 day @0.1 (N/P) Feb Feb</t>
  </si>
  <si>
    <t>$C$165</t>
  </si>
  <si>
    <t>30 day @0.115 (N/P) Mar Feb</t>
  </si>
  <si>
    <t>$C$166</t>
  </si>
  <si>
    <t>30 day @0.11 (N/P) Apr Feb</t>
  </si>
  <si>
    <t>$C$167</t>
  </si>
  <si>
    <t>30 day @0.095 (N/P) May Feb</t>
  </si>
  <si>
    <t>$C$168</t>
  </si>
  <si>
    <t>90 day @0.095 (N/P) Jan Feb</t>
  </si>
  <si>
    <t>$C$169</t>
  </si>
  <si>
    <t>90 day @0.1 (N/P) Feb Feb</t>
  </si>
  <si>
    <t>$C$170</t>
  </si>
  <si>
    <t>90 day @0.11 (N/P) Mar Feb</t>
  </si>
  <si>
    <t>$C$171</t>
  </si>
  <si>
    <t>90 day @.11(N/P) Apr Feb</t>
  </si>
  <si>
    <t>$C$172</t>
  </si>
  <si>
    <t>180 day @.1(N/P) Jan Feb</t>
  </si>
  <si>
    <t>$A$203</t>
  </si>
  <si>
    <t>$A$203&lt;=$C$203</t>
  </si>
  <si>
    <t>Not Binding</t>
  </si>
  <si>
    <t>$A$204</t>
  </si>
  <si>
    <t>$A$204&lt;=$C$204</t>
  </si>
  <si>
    <t>Binding</t>
  </si>
  <si>
    <t>$A$205</t>
  </si>
  <si>
    <t>$A$205&lt;=$C$205</t>
  </si>
  <si>
    <t>$A$206</t>
  </si>
  <si>
    <t>$A$206&lt;=$C$206</t>
  </si>
  <si>
    <t>$A$207</t>
  </si>
  <si>
    <t>$A$207&lt;=$C$207</t>
  </si>
  <si>
    <t>$A$208</t>
  </si>
  <si>
    <t>$A$208&lt;=$C$208</t>
  </si>
  <si>
    <t>$A$210</t>
  </si>
  <si>
    <t>$A$210=$C$210</t>
  </si>
  <si>
    <t>$A$211</t>
  </si>
  <si>
    <t>$A$211=$C$211</t>
  </si>
  <si>
    <t>$A$212</t>
  </si>
  <si>
    <t>$A$212=$C$212</t>
  </si>
  <si>
    <t>$A$213</t>
  </si>
  <si>
    <t>$A$213=$C$213</t>
  </si>
  <si>
    <t>$A$214</t>
  </si>
  <si>
    <t>$A$214=$C$214</t>
  </si>
  <si>
    <t>$A$215</t>
  </si>
  <si>
    <t>$A$215=$C$215</t>
  </si>
  <si>
    <t>$C$203</t>
  </si>
  <si>
    <t>&lt;= net interest paid=</t>
  </si>
  <si>
    <t>$C$203&lt;=$E$203</t>
  </si>
  <si>
    <t>$C$204</t>
  </si>
  <si>
    <t>$C$204&lt;=$E$204</t>
  </si>
  <si>
    <t>$C$205</t>
  </si>
  <si>
    <t>$C$205&lt;=$E$205</t>
  </si>
  <si>
    <t>$C$206</t>
  </si>
  <si>
    <t>$C$206&lt;=$E$206</t>
  </si>
  <si>
    <t>$C$207</t>
  </si>
  <si>
    <t>$C$207&lt;=$E$207</t>
  </si>
  <si>
    <t>$C$208</t>
  </si>
  <si>
    <t>$C$208&lt;=$E$208</t>
  </si>
  <si>
    <t>Microsoft Excel 14.0 Sensitivity Report</t>
  </si>
  <si>
    <t>Report Created: 17-02-2013 17:38:54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</si>
  <si>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</si>
  <si>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</si>
  <si>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</si>
  <si>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</si>
  <si>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</si>
  <si>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</si>
  <si>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</si>
  <si>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</si>
  <si>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</si>
  <si>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</si>
  <si>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</si>
  <si>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</si>
  <si>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</si>
  <si>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14.0 Limits Report</t>
  </si>
  <si>
    <t>Variable</t>
  </si>
  <si>
    <t>Lower</t>
  </si>
  <si>
    <t>Limit</t>
  </si>
  <si>
    <t>Result</t>
  </si>
  <si>
    <t>Upper</t>
  </si>
  <si>
    <t>Worksheet: [comparison worked out.xlsx]Sheet1</t>
  </si>
  <si>
    <t>Report Created: 18-02-2013 15:13:37</t>
  </si>
  <si>
    <t>Solution Time: 0.265 Seconds.</t>
  </si>
  <si>
    <t>Iterations: 11 Subproblems: 0</t>
  </si>
  <si>
    <t>Report Created: 18-02-2013 15:13:38</t>
  </si>
  <si>
    <t>Report Created: 18-02-2013 15:13:39</t>
  </si>
  <si>
    <t>Report Created: 18-02-2013 15:15:10</t>
  </si>
  <si>
    <t>Iterations: 10 Subproblems: 0</t>
  </si>
  <si>
    <t>Report Created: 18-02-2013 15:15:11</t>
  </si>
  <si>
    <t>This constraints is represented in words as</t>
  </si>
  <si>
    <t xml:space="preserve">Final cash balance=Intial cash balance+interest received for any maturing investment that month-interest paid for any maturing debt that month-interest for any long term debt that month+any maturing investment-any maturing debt </t>
  </si>
  <si>
    <t>any amt lent out as investment &lt;= maximum cash reciepts collected that month</t>
  </si>
  <si>
    <t xml:space="preserve">The constraint above this is represented in words as </t>
  </si>
  <si>
    <t xml:space="preserve">The maximisation constraint is represented as </t>
  </si>
  <si>
    <t>Sum of interest received- sum of interest paid</t>
  </si>
  <si>
    <t>The above constraints is for keeping the percentage of collections non negative and within 100%</t>
  </si>
  <si>
    <t>Collection fractions</t>
  </si>
  <si>
    <t>Purchase Fractions</t>
  </si>
  <si>
    <t>Cash inflow</t>
  </si>
  <si>
    <t>Cash Outflow</t>
  </si>
  <si>
    <t>minimum cash balance</t>
  </si>
  <si>
    <t>Tabulated Data for Z under different policies</t>
  </si>
  <si>
    <t>1. Collections is equal  base data ie 10%,10%,80%</t>
  </si>
  <si>
    <t>Objective Function</t>
  </si>
  <si>
    <t>3. Collections is equal to optimal condition 0%,0%,100%</t>
  </si>
  <si>
    <t>When purchase fraction is equal to the optimal condition ie 0%,100% &amp; Minimum cash Balance is 250</t>
  </si>
  <si>
    <t>When purchase fraction is equal to to the base data ie 100%,0% &amp; Minimum Cash Balance is 250</t>
  </si>
  <si>
    <t>When purchase fraction is equal to the base data ie 100%,0% &amp; No Minimum Cash Balance constraint</t>
  </si>
  <si>
    <t>When purchase fraction is equal to the optimum condition ie 0%,100% &amp; No Minimum cash Balance constraint</t>
  </si>
  <si>
    <t>2. Collection is equal to given problem 10%,60%,30%</t>
  </si>
  <si>
    <t>How the actual transcations take place during each month</t>
  </si>
  <si>
    <t>Initial cash Balance</t>
  </si>
  <si>
    <t>Cash Receipts</t>
  </si>
  <si>
    <t>Disbursements</t>
  </si>
  <si>
    <t>Borrowed amount</t>
  </si>
  <si>
    <t>Amount got back without interest</t>
  </si>
  <si>
    <t>Net amount within hand without interest</t>
  </si>
  <si>
    <t>Interest that can be paid using this amount</t>
  </si>
  <si>
    <t>30 day lenting</t>
  </si>
  <si>
    <t>90 day lenting</t>
  </si>
  <si>
    <t>30 day return</t>
  </si>
  <si>
    <t>90 day return</t>
  </si>
  <si>
    <t>180 day return</t>
  </si>
  <si>
    <t>Net cash receipts</t>
  </si>
  <si>
    <t>30 day</t>
  </si>
  <si>
    <t>90 day</t>
  </si>
  <si>
    <t>180 day</t>
  </si>
  <si>
    <t>Net amount within hand with interest</t>
  </si>
  <si>
    <t>Interest received(Net)</t>
  </si>
  <si>
    <t>30 day principle</t>
  </si>
  <si>
    <t>90 day principle</t>
  </si>
  <si>
    <t>Interest to be paid</t>
  </si>
  <si>
    <t>Amount paid which was borrowed without interest</t>
  </si>
  <si>
    <t>Interest paid(Net)</t>
  </si>
  <si>
    <t xml:space="preserve">                              January</t>
  </si>
  <si>
    <t xml:space="preserve">                              February</t>
  </si>
  <si>
    <t xml:space="preserve">                              March</t>
  </si>
  <si>
    <t xml:space="preserve">                             May</t>
  </si>
  <si>
    <t xml:space="preserve">                              April</t>
  </si>
  <si>
    <t xml:space="preserve">                              June</t>
  </si>
  <si>
    <t>180 day principle</t>
  </si>
  <si>
    <t>POLICY VARIABLES</t>
  </si>
  <si>
    <t>Short Term Investment amount and Maturity, January - June</t>
  </si>
  <si>
    <t>Operating Expenses</t>
  </si>
  <si>
    <t>Base Period Information  and Sales Forescast</t>
  </si>
  <si>
    <t>GRAPHICAL VARIATION OF OUTPUT VARIABLES WITH INPUT VARIABLES</t>
  </si>
  <si>
    <t>and Administrative Depreciation</t>
  </si>
  <si>
    <t>General and</t>
  </si>
  <si>
    <t>Administration expense</t>
  </si>
  <si>
    <t xml:space="preserve">General </t>
  </si>
  <si>
    <t xml:space="preserve"> Taxes</t>
  </si>
  <si>
    <t>Purchase fraction(keeping collection fraction fixed at base data ie collection fraction is 10%,10%,80%)</t>
  </si>
  <si>
    <t>Collection fraction table at base data ie purchase fraction is 0%,100%</t>
  </si>
  <si>
    <t>Minimum Cash Balance Table at base data for collection fraction,purchase fraction</t>
  </si>
  <si>
    <t>Minimum Cash Balance Vs Net Interest Income</t>
  </si>
  <si>
    <t>Collection fraction Vs Net Interest Income(For every 5% alternate increase in collection fraction on present and next month)</t>
  </si>
  <si>
    <t>Purchase Fraction for current month Vs Net Interest Income</t>
  </si>
  <si>
    <t>DECISION VARIABLES</t>
  </si>
  <si>
    <t>OBJECTIVE FUNCTION</t>
  </si>
  <si>
    <t>Jul</t>
  </si>
  <si>
    <t>Lng Term Borrowing Amount, January</t>
  </si>
  <si>
    <t>Operating Profit</t>
  </si>
  <si>
    <t>30 day @0.1 (CD) Jan</t>
  </si>
  <si>
    <t>30 day @0.1(CD) Feb</t>
  </si>
  <si>
    <t>30 day @0.1(CD) Mar</t>
  </si>
  <si>
    <t>30 day @0.1 (CD) Apr</t>
  </si>
  <si>
    <t>30 day @0.1(CD) May</t>
  </si>
  <si>
    <t>30 day @0.1(CD) Jun</t>
  </si>
  <si>
    <t>90 day @0.1 (CD) Jan</t>
  </si>
  <si>
    <t>90 day @0.1 (CD) Feb</t>
  </si>
  <si>
    <t>90 day @0.1 (CD) Mar</t>
  </si>
  <si>
    <t>90 day @0.1(CD) Apr</t>
  </si>
  <si>
    <t>30 day @0.1 (N/P) Jan</t>
  </si>
  <si>
    <t>30 day @0.1 (N/P) Mar</t>
  </si>
  <si>
    <t>30 day @0.1 (N/P) Apr</t>
  </si>
  <si>
    <t>30 day @0.1 (N/P) May</t>
  </si>
  <si>
    <t>90 day @0.1 (N/P) Jan</t>
  </si>
  <si>
    <t>90 day @0.1 (N/P) Mar</t>
  </si>
  <si>
    <t>90 day @0.1(N/P)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</si>
</sst>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0" fillId="3" borderId="0" xfId="0" applyFill="1"/>
    <xf numFmtId="0" fontId="1" fillId="2" borderId="1" xfId="1"/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2" fillId="0" borderId="0" xfId="0" applyFont="1"/>
    <xf numFmtId="0" fontId="0" fillId="0" borderId="5" xfId="0" applyBorder="1"/>
    <xf numFmtId="0" fontId="3" fillId="0" borderId="4" xfId="0" applyFont="1" applyBorder="1" applyAlignment="1">
      <alignment horizontal="center"/>
    </xf>
    <xf numFmtId="0" fontId="0" fillId="0" borderId="6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0" fillId="0" borderId="9" xfId="0" applyNumberFormat="1" applyBorder="1"/>
    <xf numFmtId="9" fontId="0" fillId="0" borderId="10" xfId="0" applyNumberFormat="1" applyBorder="1"/>
    <xf numFmtId="9" fontId="0" fillId="0" borderId="12" xfId="0" applyNumberFormat="1" applyBorder="1"/>
    <xf numFmtId="9" fontId="0" fillId="0" borderId="14" xfId="0" applyNumberFormat="1" applyBorder="1"/>
    <xf numFmtId="9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7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6" borderId="7" xfId="0" applyFill="1" applyBorder="1"/>
    <xf numFmtId="0" fontId="0" fillId="6" borderId="20" xfId="0" applyFill="1" applyBorder="1"/>
    <xf numFmtId="0" fontId="0" fillId="6" borderId="18" xfId="0" applyFill="1" applyBorder="1"/>
    <xf numFmtId="0" fontId="0" fillId="6" borderId="21" xfId="0" applyFill="1" applyBorder="1"/>
    <xf numFmtId="0" fontId="0" fillId="6" borderId="23" xfId="0" applyFill="1" applyBorder="1"/>
    <xf numFmtId="0" fontId="0" fillId="6" borderId="8" xfId="0" applyFill="1" applyBorder="1"/>
    <xf numFmtId="0" fontId="0" fillId="6" borderId="11" xfId="0" applyFill="1" applyBorder="1"/>
    <xf numFmtId="0" fontId="0" fillId="6" borderId="0" xfId="0" applyFill="1"/>
    <xf numFmtId="0" fontId="0" fillId="6" borderId="17" xfId="0" applyFill="1" applyBorder="1"/>
    <xf numFmtId="0" fontId="0" fillId="6" borderId="19" xfId="0" applyFill="1" applyBorder="1"/>
    <xf numFmtId="9" fontId="0" fillId="0" borderId="11" xfId="0" applyNumberFormat="1" applyBorder="1"/>
    <xf numFmtId="9" fontId="0" fillId="0" borderId="13" xfId="0" applyNumberFormat="1" applyBorder="1"/>
    <xf numFmtId="0" fontId="0" fillId="6" borderId="16" xfId="0" applyFill="1" applyBorder="1"/>
    <xf numFmtId="0" fontId="5" fillId="0" borderId="0" xfId="0" applyFont="1"/>
  </cellXfs>
  <cellStyles count="8"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IN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Sheet1!$A$388</c:f>
              <c:strCache>
                <c:ptCount val="1"/>
                <c:pt idx="0">
                  <c:v>Collection fraction Vs Net Interest Income(For every 5% alternate increase in collection fraction on present and next month)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Sheet1!$D$367:$D$403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</c:numCache>
            </c:numRef>
          </c:xVal>
          <c:yVal>
            <c:numRef>
              <c:f>Sheet1!$E$367:$E$403</c:f>
              <c:numCache>
                <c:formatCode>General</c:formatCode>
                <c:ptCount val="37"/>
                <c:pt idx="0">
                  <c:v>-113.6309919</c:v>
                </c:pt>
                <c:pt idx="1">
                  <c:v>-105.9115632</c:v>
                </c:pt>
                <c:pt idx="2">
                  <c:v>-102.528783</c:v>
                </c:pt>
                <c:pt idx="3">
                  <c:v>-94.863248310000003</c:v>
                </c:pt>
                <c:pt idx="4">
                  <c:v>-87.197713640000003</c:v>
                </c:pt>
                <c:pt idx="5">
                  <c:v>-83.814933429999996</c:v>
                </c:pt>
                <c:pt idx="6">
                  <c:v>-80.432153209999996</c:v>
                </c:pt>
                <c:pt idx="7">
                  <c:v>-72.768355909999997</c:v>
                </c:pt>
                <c:pt idx="8">
                  <c:v>-65.106105790000001</c:v>
                </c:pt>
                <c:pt idx="9">
                  <c:v>-61.726319760000003</c:v>
                </c:pt>
                <c:pt idx="10">
                  <c:v>-58.421810729999997</c:v>
                </c:pt>
                <c:pt idx="11">
                  <c:v>-51.298177610000003</c:v>
                </c:pt>
                <c:pt idx="12">
                  <c:v>-44.242528030000003</c:v>
                </c:pt>
                <c:pt idx="13">
                  <c:v>-41.22261804</c:v>
                </c:pt>
                <c:pt idx="14">
                  <c:v>-38.20022823</c:v>
                </c:pt>
                <c:pt idx="15">
                  <c:v>-31.180505069999999</c:v>
                </c:pt>
                <c:pt idx="16">
                  <c:v>-24.1607819</c:v>
                </c:pt>
                <c:pt idx="17">
                  <c:v>-21.14011318</c:v>
                </c:pt>
                <c:pt idx="18">
                  <c:v>-18.11944446</c:v>
                </c:pt>
                <c:pt idx="19">
                  <c:v>-11.099721300000001</c:v>
                </c:pt>
                <c:pt idx="20">
                  <c:v>-10.143801890000001</c:v>
                </c:pt>
                <c:pt idx="21">
                  <c:v>-9.1899232800000004</c:v>
                </c:pt>
                <c:pt idx="22">
                  <c:v>-8.2360446679999999</c:v>
                </c:pt>
                <c:pt idx="23">
                  <c:v>-7.2821660560000003</c:v>
                </c:pt>
                <c:pt idx="24">
                  <c:v>0.66653952100000002</c:v>
                </c:pt>
                <c:pt idx="25">
                  <c:v>10.641610010000001</c:v>
                </c:pt>
                <c:pt idx="26">
                  <c:v>12.65339234</c:v>
                </c:pt>
                <c:pt idx="27">
                  <c:v>17.53157981</c:v>
                </c:pt>
                <c:pt idx="28">
                  <c:v>24.42154961</c:v>
                </c:pt>
                <c:pt idx="29">
                  <c:v>28.344268710000001</c:v>
                </c:pt>
                <c:pt idx="30">
                  <c:v>-15.098775740000001</c:v>
                </c:pt>
                <c:pt idx="31">
                  <c:v>-26.117553350000001</c:v>
                </c:pt>
                <c:pt idx="32">
                  <c:v>-30.11660779</c:v>
                </c:pt>
                <c:pt idx="33">
                  <c:v>-34.115662229999998</c:v>
                </c:pt>
                <c:pt idx="34">
                  <c:v>-42.113771110000002</c:v>
                </c:pt>
                <c:pt idx="35">
                  <c:v>-51.090265709999997</c:v>
                </c:pt>
                <c:pt idx="36">
                  <c:v>-34.115662229999998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8-074A-A838-41A9DFC69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264648"/>
        <c:axId val="-2096261608"/>
      </c:scatterChart>
      <c:valAx>
        <c:axId val="-2096264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2096261608"/>
        <c:crosses val="autoZero"/>
        <c:crossBetween val="midCat"/>
      </c:valAx>
      <c:valAx>
        <c:axId val="-2096261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2096264648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IN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Sheet1!$A$636</c:f>
              <c:strCache>
                <c:ptCount val="1"/>
                <c:pt idx="0">
                  <c:v>Purchase Fraction for current month Vs Net Interest Income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Sheet1!$D$409:$D$428</c:f>
              <c:numCache>
                <c:formatCode>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Sheet1!$E$409:$E$428</c:f>
              <c:numCache>
                <c:formatCode>General</c:formatCode>
                <c:ptCount val="20"/>
                <c:pt idx="0">
                  <c:v>-94.863248310000003</c:v>
                </c:pt>
                <c:pt idx="1">
                  <c:v>-94.863248310000003</c:v>
                </c:pt>
                <c:pt idx="2">
                  <c:v>-94.863248310000003</c:v>
                </c:pt>
                <c:pt idx="3">
                  <c:v>-94.863248310000003</c:v>
                </c:pt>
                <c:pt idx="4">
                  <c:v>-94.863248310000003</c:v>
                </c:pt>
                <c:pt idx="5">
                  <c:v>-94.863248310000003</c:v>
                </c:pt>
                <c:pt idx="6">
                  <c:v>-94.863248310000003</c:v>
                </c:pt>
                <c:pt idx="7">
                  <c:v>-94.863248310000003</c:v>
                </c:pt>
                <c:pt idx="8">
                  <c:v>-94.863248310000003</c:v>
                </c:pt>
                <c:pt idx="9">
                  <c:v>-94.863248310000003</c:v>
                </c:pt>
                <c:pt idx="10">
                  <c:v>-94.863248310000003</c:v>
                </c:pt>
                <c:pt idx="11">
                  <c:v>-94.863248310000003</c:v>
                </c:pt>
                <c:pt idx="12">
                  <c:v>-94.863248310000003</c:v>
                </c:pt>
                <c:pt idx="13">
                  <c:v>-94.863248310000003</c:v>
                </c:pt>
                <c:pt idx="14">
                  <c:v>-94.863248310000003</c:v>
                </c:pt>
                <c:pt idx="15">
                  <c:v>-94.863248310000003</c:v>
                </c:pt>
                <c:pt idx="16">
                  <c:v>-94.863248310000003</c:v>
                </c:pt>
                <c:pt idx="17">
                  <c:v>-94.863248310000003</c:v>
                </c:pt>
                <c:pt idx="18">
                  <c:v>-94.863248310000003</c:v>
                </c:pt>
                <c:pt idx="19">
                  <c:v>-94.863248310000003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B-C443-8253-70CBE7C2B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235080"/>
        <c:axId val="-2096231992"/>
      </c:scatterChart>
      <c:valAx>
        <c:axId val="-2096235080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2096231992"/>
        <c:crosses val="autoZero"/>
        <c:crossBetween val="midCat"/>
      </c:valAx>
      <c:valAx>
        <c:axId val="-2096231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209623508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IN"/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Sheet1!$A$697</c:f>
              <c:strCache>
                <c:ptCount val="1"/>
                <c:pt idx="0">
                  <c:v>Minimum Cash Balance Vs Net Interest Income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Sheet1!$D$431:$D$450</c:f>
              <c:numCache>
                <c:formatCode>General</c:formatCode>
                <c:ptCount val="2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1000</c:v>
                </c:pt>
              </c:numCache>
            </c:numRef>
          </c:xVal>
          <c:yVal>
            <c:numRef>
              <c:f>Sheet1!$E$431:$E$450</c:f>
              <c:numCache>
                <c:formatCode>General</c:formatCode>
                <c:ptCount val="20"/>
                <c:pt idx="0">
                  <c:v>-84.304209850000007</c:v>
                </c:pt>
                <c:pt idx="1">
                  <c:v>-86.416017539999999</c:v>
                </c:pt>
                <c:pt idx="2">
                  <c:v>-88.527825230000005</c:v>
                </c:pt>
                <c:pt idx="3">
                  <c:v>-90.639632930000005</c:v>
                </c:pt>
                <c:pt idx="4">
                  <c:v>-92.751440619999997</c:v>
                </c:pt>
                <c:pt idx="5">
                  <c:v>-94.863248310000003</c:v>
                </c:pt>
                <c:pt idx="6">
                  <c:v>-96.975055999999995</c:v>
                </c:pt>
                <c:pt idx="7">
                  <c:v>-99.086863690000001</c:v>
                </c:pt>
                <c:pt idx="8">
                  <c:v>-101.19867139999999</c:v>
                </c:pt>
                <c:pt idx="9">
                  <c:v>-103.31047909999999</c:v>
                </c:pt>
                <c:pt idx="10">
                  <c:v>-105.42228679999999</c:v>
                </c:pt>
                <c:pt idx="11">
                  <c:v>-107.53409449999999</c:v>
                </c:pt>
                <c:pt idx="12">
                  <c:v>-109.64590219999999</c:v>
                </c:pt>
                <c:pt idx="13">
                  <c:v>-111.7577098</c:v>
                </c:pt>
                <c:pt idx="14">
                  <c:v>-113.8695175</c:v>
                </c:pt>
                <c:pt idx="15">
                  <c:v>-115.9813252</c:v>
                </c:pt>
                <c:pt idx="16">
                  <c:v>-118.0931329</c:v>
                </c:pt>
                <c:pt idx="17">
                  <c:v>-120.2049406</c:v>
                </c:pt>
                <c:pt idx="18">
                  <c:v>-122.3167483</c:v>
                </c:pt>
                <c:pt idx="19">
                  <c:v>-126.5403637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D-D04F-8DCF-3AE62DBB0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6204216"/>
        <c:axId val="-2096201224"/>
      </c:scatterChart>
      <c:valAx>
        <c:axId val="-2096204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2096201224"/>
        <c:crosses val="autoZero"/>
        <c:crossBetween val="midCat"/>
      </c:valAx>
      <c:valAx>
        <c:axId val="-2096201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209620421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45357</xdr:colOff>
      <xdr:row>567</xdr:row>
      <xdr:rowOff>170090</xdr:rowOff>
    </xdr:from>
    <xdr:to>
      <xdr:col>1</xdr:col>
      <xdr:colOff>2222500</xdr:colOff>
      <xdr:row>588</xdr:row>
      <xdr:rowOff>73253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56696</xdr:colOff>
      <xdr:row>589</xdr:row>
      <xdr:rowOff>124732</xdr:rowOff>
    </xdr:from>
    <xdr:to>
      <xdr:col>1</xdr:col>
      <xdr:colOff>2245178</xdr:colOff>
      <xdr:row>609</xdr:row>
      <xdr:rowOff>181428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83909</xdr:colOff>
      <xdr:row>610</xdr:row>
      <xdr:rowOff>113392</xdr:rowOff>
    </xdr:from>
    <xdr:to>
      <xdr:col>1</xdr:col>
      <xdr:colOff>2267857</xdr:colOff>
      <xdr:row>632</xdr:row>
      <xdr:rowOff>27893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123</xdr:row>
      <xdr:rowOff>47625</xdr:rowOff>
    </xdr:from>
    <xdr:to>
      <xdr:col>5</xdr:col>
      <xdr:colOff>600075</xdr:colOff>
      <xdr:row>130</xdr:row>
      <xdr:rowOff>76200</xdr:rowOff>
    </xdr:to>
    <xdr:sp macro="" textlink="">
      <xdr:nvSpPr>
        <xdr:cNvPr id="5" name="Cloud Callou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629025" y="23764875"/>
          <a:ext cx="2466975" cy="1371600"/>
        </a:xfrm>
        <a:prstGeom prst="cloudCallout">
          <a:avLst>
            <a:gd name="adj1" fmla="val -58717"/>
            <a:gd name="adj2" fmla="val 6127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</a:t>
          </a:r>
          <a:r>
            <a:rPr lang="en-IN" sz="1100" baseline="0"/>
            <a:t> constants used for the  objective equation of Linear programming....</a:t>
          </a:r>
          <a:endParaRPr lang="en-IN" sz="1100"/>
        </a:p>
      </xdr:txBody>
    </xdr:sp>
    <xdr:clientData/>
  </xdr:twoCellAnchor>
  <xdr:twoCellAnchor>
    <xdr:from>
      <xdr:col>4</xdr:col>
      <xdr:colOff>0</xdr:colOff>
      <xdr:row>155</xdr:row>
      <xdr:rowOff>0</xdr:rowOff>
    </xdr:from>
    <xdr:to>
      <xdr:col>8</xdr:col>
      <xdr:colOff>352425</xdr:colOff>
      <xdr:row>163</xdr:row>
      <xdr:rowOff>28575</xdr:rowOff>
    </xdr:to>
    <xdr:sp macro="" textlink="">
      <xdr:nvSpPr>
        <xdr:cNvPr id="6" name="Cloud Callou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2438400" y="29775150"/>
          <a:ext cx="2790825" cy="1552575"/>
        </a:xfrm>
        <a:prstGeom prst="cloudCallout">
          <a:avLst>
            <a:gd name="adj1" fmla="val -63495"/>
            <a:gd name="adj2" fmla="val 4900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</a:t>
          </a:r>
          <a:r>
            <a:rPr lang="en-IN" sz="1100" baseline="0"/>
            <a:t> variables used for the  objective equation of Linear programming....</a:t>
          </a:r>
          <a:endParaRPr lang="en-IN" sz="1100"/>
        </a:p>
      </xdr:txBody>
    </xdr:sp>
    <xdr:clientData/>
  </xdr:twoCellAnchor>
  <xdr:twoCellAnchor>
    <xdr:from>
      <xdr:col>3</xdr:col>
      <xdr:colOff>333375</xdr:colOff>
      <xdr:row>170</xdr:row>
      <xdr:rowOff>85725</xdr:rowOff>
    </xdr:from>
    <xdr:to>
      <xdr:col>7</xdr:col>
      <xdr:colOff>123825</xdr:colOff>
      <xdr:row>173</xdr:row>
      <xdr:rowOff>133350</xdr:rowOff>
    </xdr:to>
    <xdr:sp macro="" textlink="">
      <xdr:nvSpPr>
        <xdr:cNvPr id="7" name="Line Callout 1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2162175" y="32718375"/>
          <a:ext cx="2228850" cy="628650"/>
        </a:xfrm>
        <a:prstGeom prst="borderCallout1">
          <a:avLst>
            <a:gd name="adj1" fmla="val 23835"/>
            <a:gd name="adj2" fmla="val -641"/>
            <a:gd name="adj3" fmla="val 200636"/>
            <a:gd name="adj4" fmla="val -6397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 equation for the  maximisation function</a:t>
          </a:r>
          <a:r>
            <a:rPr lang="en-IN" sz="1100" baseline="0"/>
            <a:t> is typed here...ie the objective equation</a:t>
          </a:r>
          <a:endParaRPr lang="en-IN" sz="1100"/>
        </a:p>
      </xdr:txBody>
    </xdr:sp>
    <xdr:clientData/>
  </xdr:twoCellAnchor>
  <xdr:twoCellAnchor>
    <xdr:from>
      <xdr:col>7</xdr:col>
      <xdr:colOff>466725</xdr:colOff>
      <xdr:row>172</xdr:row>
      <xdr:rowOff>133350</xdr:rowOff>
    </xdr:from>
    <xdr:to>
      <xdr:col>11</xdr:col>
      <xdr:colOff>361950</xdr:colOff>
      <xdr:row>179</xdr:row>
      <xdr:rowOff>104775</xdr:rowOff>
    </xdr:to>
    <xdr:sp macro="" textlink="">
      <xdr:nvSpPr>
        <xdr:cNvPr id="9" name="Cloud Callou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4733925" y="33156525"/>
          <a:ext cx="2333625" cy="1323975"/>
        </a:xfrm>
        <a:prstGeom prst="cloudCallout">
          <a:avLst>
            <a:gd name="adj1" fmla="val -62058"/>
            <a:gd name="adj2" fmla="val 6969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 interest received per month according to investment variables</a:t>
          </a:r>
        </a:p>
      </xdr:txBody>
    </xdr:sp>
    <xdr:clientData/>
  </xdr:twoCellAnchor>
  <xdr:twoCellAnchor>
    <xdr:from>
      <xdr:col>7</xdr:col>
      <xdr:colOff>581025</xdr:colOff>
      <xdr:row>184</xdr:row>
      <xdr:rowOff>190500</xdr:rowOff>
    </xdr:from>
    <xdr:to>
      <xdr:col>11</xdr:col>
      <xdr:colOff>476250</xdr:colOff>
      <xdr:row>191</xdr:row>
      <xdr:rowOff>171450</xdr:rowOff>
    </xdr:to>
    <xdr:sp macro="" textlink="">
      <xdr:nvSpPr>
        <xdr:cNvPr id="11" name="Cloud Callou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4848225" y="35518725"/>
          <a:ext cx="2333625" cy="1323975"/>
        </a:xfrm>
        <a:prstGeom prst="cloudCallout">
          <a:avLst>
            <a:gd name="adj1" fmla="val -66547"/>
            <a:gd name="adj2" fmla="val 538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 interest received per month according to investment instruments</a:t>
          </a:r>
        </a:p>
      </xdr:txBody>
    </xdr:sp>
    <xdr:clientData/>
  </xdr:twoCellAnchor>
  <xdr:twoCellAnchor>
    <xdr:from>
      <xdr:col>7</xdr:col>
      <xdr:colOff>600075</xdr:colOff>
      <xdr:row>62</xdr:row>
      <xdr:rowOff>171450</xdr:rowOff>
    </xdr:from>
    <xdr:to>
      <xdr:col>11</xdr:col>
      <xdr:colOff>228600</xdr:colOff>
      <xdr:row>70</xdr:row>
      <xdr:rowOff>0</xdr:rowOff>
    </xdr:to>
    <xdr:sp macro="" textlink="">
      <xdr:nvSpPr>
        <xdr:cNvPr id="12" name="Cloud Callou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7315200" y="12134850"/>
          <a:ext cx="2066925" cy="1371600"/>
        </a:xfrm>
        <a:prstGeom prst="cloudCallout">
          <a:avLst>
            <a:gd name="adj1" fmla="val -74289"/>
            <a:gd name="adj2" fmla="val 243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How much of the cash obtained</a:t>
          </a:r>
          <a:r>
            <a:rPr lang="en-IN" sz="1100" baseline="0"/>
            <a:t> from sales do we collect each month...?</a:t>
          </a:r>
          <a:endParaRPr lang="en-IN" sz="1100"/>
        </a:p>
      </xdr:txBody>
    </xdr:sp>
    <xdr:clientData/>
  </xdr:twoCellAnchor>
  <xdr:twoCellAnchor>
    <xdr:from>
      <xdr:col>8</xdr:col>
      <xdr:colOff>114300</xdr:colOff>
      <xdr:row>72</xdr:row>
      <xdr:rowOff>123825</xdr:rowOff>
    </xdr:from>
    <xdr:to>
      <xdr:col>11</xdr:col>
      <xdr:colOff>352425</xdr:colOff>
      <xdr:row>79</xdr:row>
      <xdr:rowOff>161925</xdr:rowOff>
    </xdr:to>
    <xdr:sp macro="" textlink="">
      <xdr:nvSpPr>
        <xdr:cNvPr id="14" name="Cloud Callou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7439025" y="14011275"/>
          <a:ext cx="2066925" cy="1371600"/>
        </a:xfrm>
        <a:prstGeom prst="cloudCallout">
          <a:avLst>
            <a:gd name="adj1" fmla="val -79819"/>
            <a:gd name="adj2" fmla="val 1458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How much of  cash we are liable to pay </a:t>
          </a:r>
          <a:r>
            <a:rPr lang="en-IN" sz="1100" baseline="0"/>
            <a:t> do we pay each month...?</a:t>
          </a:r>
          <a:endParaRPr lang="en-IN" sz="1100"/>
        </a:p>
      </xdr:txBody>
    </xdr:sp>
    <xdr:clientData/>
  </xdr:twoCellAnchor>
  <xdr:twoCellAnchor>
    <xdr:from>
      <xdr:col>8</xdr:col>
      <xdr:colOff>19050</xdr:colOff>
      <xdr:row>81</xdr:row>
      <xdr:rowOff>123824</xdr:rowOff>
    </xdr:from>
    <xdr:to>
      <xdr:col>12</xdr:col>
      <xdr:colOff>238125</xdr:colOff>
      <xdr:row>89</xdr:row>
      <xdr:rowOff>76199</xdr:rowOff>
    </xdr:to>
    <xdr:sp macro="" textlink="">
      <xdr:nvSpPr>
        <xdr:cNvPr id="15" name="Cloud Callou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343775" y="15735299"/>
          <a:ext cx="2657475" cy="1495425"/>
        </a:xfrm>
        <a:prstGeom prst="cloudCallout">
          <a:avLst>
            <a:gd name="adj1" fmla="val -71012"/>
            <a:gd name="adj2" fmla="val 1216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How much</a:t>
          </a:r>
          <a:r>
            <a:rPr lang="en-IN" sz="1100" baseline="0"/>
            <a:t> we borrow and lend out ensuring a minimum cash balance which is previously defined</a:t>
          </a:r>
          <a:endParaRPr lang="en-IN" sz="1100"/>
        </a:p>
      </xdr:txBody>
    </xdr:sp>
    <xdr:clientData/>
  </xdr:twoCellAnchor>
  <xdr:twoCellAnchor>
    <xdr:from>
      <xdr:col>8</xdr:col>
      <xdr:colOff>85725</xdr:colOff>
      <xdr:row>91</xdr:row>
      <xdr:rowOff>38100</xdr:rowOff>
    </xdr:from>
    <xdr:to>
      <xdr:col>12</xdr:col>
      <xdr:colOff>304800</xdr:colOff>
      <xdr:row>99</xdr:row>
      <xdr:rowOff>85725</xdr:rowOff>
    </xdr:to>
    <xdr:sp macro="" textlink="">
      <xdr:nvSpPr>
        <xdr:cNvPr id="16" name="Cloud Callou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7410450" y="17583150"/>
          <a:ext cx="2657475" cy="1581150"/>
        </a:xfrm>
        <a:prstGeom prst="cloudCallout">
          <a:avLst>
            <a:gd name="adj1" fmla="val -73880"/>
            <a:gd name="adj2" fmla="val 2417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Interest  Received,Paid</a:t>
          </a:r>
          <a:r>
            <a:rPr lang="en-IN" sz="1100" baseline="0"/>
            <a:t> .....Debt ,Investment Maturing.....  all amount to how the cash flows in and out during each month</a:t>
          </a:r>
          <a:endParaRPr lang="en-IN" sz="1100"/>
        </a:p>
      </xdr:txBody>
    </xdr:sp>
    <xdr:clientData/>
  </xdr:twoCellAnchor>
  <xdr:twoCellAnchor>
    <xdr:from>
      <xdr:col>9</xdr:col>
      <xdr:colOff>142875</xdr:colOff>
      <xdr:row>50</xdr:row>
      <xdr:rowOff>38100</xdr:rowOff>
    </xdr:from>
    <xdr:to>
      <xdr:col>12</xdr:col>
      <xdr:colOff>381000</xdr:colOff>
      <xdr:row>57</xdr:row>
      <xdr:rowOff>66675</xdr:rowOff>
    </xdr:to>
    <xdr:sp macro="" textlink="">
      <xdr:nvSpPr>
        <xdr:cNvPr id="17" name="Cloud Callout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8077200" y="9696450"/>
          <a:ext cx="2066925" cy="1371600"/>
        </a:xfrm>
        <a:prstGeom prst="cloudCallout">
          <a:avLst>
            <a:gd name="adj1" fmla="val -79819"/>
            <a:gd name="adj2" fmla="val 243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Gives us an all round</a:t>
          </a:r>
          <a:r>
            <a:rPr lang="en-IN" sz="1100" baseline="0"/>
            <a:t> </a:t>
          </a:r>
          <a:r>
            <a:rPr lang="en-IN" sz="1100"/>
            <a:t>information of revenue and other cost incurred.....</a:t>
          </a:r>
        </a:p>
      </xdr:txBody>
    </xdr:sp>
    <xdr:clientData/>
  </xdr:twoCellAnchor>
  <xdr:twoCellAnchor>
    <xdr:from>
      <xdr:col>6</xdr:col>
      <xdr:colOff>571500</xdr:colOff>
      <xdr:row>44</xdr:row>
      <xdr:rowOff>28574</xdr:rowOff>
    </xdr:from>
    <xdr:to>
      <xdr:col>11</xdr:col>
      <xdr:colOff>457200</xdr:colOff>
      <xdr:row>49</xdr:row>
      <xdr:rowOff>104774</xdr:rowOff>
    </xdr:to>
    <xdr:sp macro="" textlink="">
      <xdr:nvSpPr>
        <xdr:cNvPr id="18" name="Cloud Callout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4229100" y="8505824"/>
          <a:ext cx="2933700" cy="1057275"/>
        </a:xfrm>
        <a:prstGeom prst="cloudCallout">
          <a:avLst>
            <a:gd name="adj1" fmla="val -69220"/>
            <a:gd name="adj2" fmla="val 243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How</a:t>
          </a:r>
          <a:r>
            <a:rPr lang="en-IN" sz="1100" baseline="0"/>
            <a:t> much we are going to borrow and lend during our financial period</a:t>
          </a:r>
          <a:endParaRPr lang="en-IN" sz="1100"/>
        </a:p>
      </xdr:txBody>
    </xdr:sp>
    <xdr:clientData/>
  </xdr:twoCellAnchor>
  <xdr:twoCellAnchor>
    <xdr:from>
      <xdr:col>5</xdr:col>
      <xdr:colOff>561975</xdr:colOff>
      <xdr:row>31</xdr:row>
      <xdr:rowOff>133350</xdr:rowOff>
    </xdr:from>
    <xdr:to>
      <xdr:col>10</xdr:col>
      <xdr:colOff>95250</xdr:colOff>
      <xdr:row>38</xdr:row>
      <xdr:rowOff>47626</xdr:rowOff>
    </xdr:to>
    <xdr:sp macro="" textlink="">
      <xdr:nvSpPr>
        <xdr:cNvPr id="19" name="Cloud Callout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3609975" y="6115050"/>
          <a:ext cx="2581275" cy="1266826"/>
        </a:xfrm>
        <a:prstGeom prst="cloudCallout">
          <a:avLst>
            <a:gd name="adj1" fmla="val -69220"/>
            <a:gd name="adj2" fmla="val 243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What</a:t>
          </a:r>
          <a:r>
            <a:rPr lang="en-IN" sz="1100" baseline="0"/>
            <a:t> fraction of our revenue and cash payable we are going to collect in present and next,next to next month...</a:t>
          </a:r>
          <a:endParaRPr lang="en-IN" sz="1100"/>
        </a:p>
      </xdr:txBody>
    </xdr:sp>
    <xdr:clientData/>
  </xdr:twoCellAnchor>
  <xdr:twoCellAnchor>
    <xdr:from>
      <xdr:col>5</xdr:col>
      <xdr:colOff>85725</xdr:colOff>
      <xdr:row>38</xdr:row>
      <xdr:rowOff>171450</xdr:rowOff>
    </xdr:from>
    <xdr:to>
      <xdr:col>10</xdr:col>
      <xdr:colOff>123824</xdr:colOff>
      <xdr:row>40</xdr:row>
      <xdr:rowOff>28575</xdr:rowOff>
    </xdr:to>
    <xdr:sp macro="" textlink="">
      <xdr:nvSpPr>
        <xdr:cNvPr id="22" name="Line Callout 1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3133725" y="7505700"/>
          <a:ext cx="3086099" cy="238125"/>
        </a:xfrm>
        <a:prstGeom prst="borderCallout1">
          <a:avLst>
            <a:gd name="adj1" fmla="val 13296"/>
            <a:gd name="adj2" fmla="val -727"/>
            <a:gd name="adj3" fmla="val 92864"/>
            <a:gd name="adj4" fmla="val -2848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How we decide to end our inventory........</a:t>
          </a:r>
        </a:p>
      </xdr:txBody>
    </xdr:sp>
    <xdr:clientData/>
  </xdr:twoCellAnchor>
  <xdr:twoCellAnchor>
    <xdr:from>
      <xdr:col>5</xdr:col>
      <xdr:colOff>495299</xdr:colOff>
      <xdr:row>40</xdr:row>
      <xdr:rowOff>104776</xdr:rowOff>
    </xdr:from>
    <xdr:to>
      <xdr:col>13</xdr:col>
      <xdr:colOff>257174</xdr:colOff>
      <xdr:row>41</xdr:row>
      <xdr:rowOff>133350</xdr:rowOff>
    </xdr:to>
    <xdr:sp macro="" textlink="">
      <xdr:nvSpPr>
        <xdr:cNvPr id="23" name="Line Callout 1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5991224" y="7820026"/>
          <a:ext cx="4638675" cy="219074"/>
        </a:xfrm>
        <a:prstGeom prst="borderCallout1">
          <a:avLst>
            <a:gd name="adj1" fmla="val 13296"/>
            <a:gd name="adj2" fmla="val 94"/>
            <a:gd name="adj3" fmla="val 92864"/>
            <a:gd name="adj4" fmla="val -6089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How much we are getting as net</a:t>
          </a:r>
          <a:r>
            <a:rPr lang="en-IN" sz="1100" baseline="0"/>
            <a:t> profit after paying off other cost incurred</a:t>
          </a:r>
          <a:endParaRPr lang="en-IN" sz="1100"/>
        </a:p>
      </xdr:txBody>
    </xdr:sp>
    <xdr:clientData/>
  </xdr:twoCellAnchor>
  <xdr:twoCellAnchor>
    <xdr:from>
      <xdr:col>5</xdr:col>
      <xdr:colOff>533399</xdr:colOff>
      <xdr:row>42</xdr:row>
      <xdr:rowOff>114301</xdr:rowOff>
    </xdr:from>
    <xdr:to>
      <xdr:col>13</xdr:col>
      <xdr:colOff>295274</xdr:colOff>
      <xdr:row>43</xdr:row>
      <xdr:rowOff>142875</xdr:rowOff>
    </xdr:to>
    <xdr:sp macro="" textlink="">
      <xdr:nvSpPr>
        <xdr:cNvPr id="24" name="Line Callout 1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6029324" y="8210551"/>
          <a:ext cx="4638675" cy="219074"/>
        </a:xfrm>
        <a:prstGeom prst="borderCallout1">
          <a:avLst>
            <a:gd name="adj1" fmla="val 13296"/>
            <a:gd name="adj2" fmla="val 94"/>
            <a:gd name="adj3" fmla="val 92864"/>
            <a:gd name="adj4" fmla="val -6089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</a:t>
          </a:r>
          <a:r>
            <a:rPr lang="en-IN" sz="1100" baseline="0"/>
            <a:t>  general and administrative expenses...</a:t>
          </a:r>
          <a:endParaRPr lang="en-IN" sz="1100"/>
        </a:p>
      </xdr:txBody>
    </xdr:sp>
    <xdr:clientData/>
  </xdr:twoCellAnchor>
  <xdr:twoCellAnchor>
    <xdr:from>
      <xdr:col>7</xdr:col>
      <xdr:colOff>504825</xdr:colOff>
      <xdr:row>20</xdr:row>
      <xdr:rowOff>171450</xdr:rowOff>
    </xdr:from>
    <xdr:to>
      <xdr:col>11</xdr:col>
      <xdr:colOff>514350</xdr:colOff>
      <xdr:row>27</xdr:row>
      <xdr:rowOff>95250</xdr:rowOff>
    </xdr:to>
    <xdr:sp macro="" textlink="">
      <xdr:nvSpPr>
        <xdr:cNvPr id="25" name="Cloud Callout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4772025" y="4029075"/>
          <a:ext cx="2447925" cy="1285875"/>
        </a:xfrm>
        <a:prstGeom prst="cloudCallout">
          <a:avLst>
            <a:gd name="adj1" fmla="val -67136"/>
            <a:gd name="adj2" fmla="val 4398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Interest Rates in different months  for borrowing and lending........</a:t>
          </a:r>
        </a:p>
      </xdr:txBody>
    </xdr:sp>
    <xdr:clientData/>
  </xdr:twoCellAnchor>
  <xdr:twoCellAnchor>
    <xdr:from>
      <xdr:col>10</xdr:col>
      <xdr:colOff>266700</xdr:colOff>
      <xdr:row>4</xdr:row>
      <xdr:rowOff>85726</xdr:rowOff>
    </xdr:from>
    <xdr:to>
      <xdr:col>14</xdr:col>
      <xdr:colOff>171450</xdr:colOff>
      <xdr:row>9</xdr:row>
      <xdr:rowOff>28576</xdr:rowOff>
    </xdr:to>
    <xdr:sp macro="" textlink="">
      <xdr:nvSpPr>
        <xdr:cNvPr id="26" name="Cloud Callout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6362700" y="866776"/>
          <a:ext cx="2343150" cy="895350"/>
        </a:xfrm>
        <a:prstGeom prst="cloudCallout">
          <a:avLst>
            <a:gd name="adj1" fmla="val -56264"/>
            <a:gd name="adj2" fmla="val 5930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What happened before January.....?</a:t>
          </a:r>
        </a:p>
      </xdr:txBody>
    </xdr:sp>
    <xdr:clientData/>
  </xdr:twoCellAnchor>
  <xdr:twoCellAnchor>
    <xdr:from>
      <xdr:col>5</xdr:col>
      <xdr:colOff>590548</xdr:colOff>
      <xdr:row>197</xdr:row>
      <xdr:rowOff>123824</xdr:rowOff>
    </xdr:from>
    <xdr:to>
      <xdr:col>14</xdr:col>
      <xdr:colOff>400049</xdr:colOff>
      <xdr:row>206</xdr:row>
      <xdr:rowOff>76199</xdr:rowOff>
    </xdr:to>
    <xdr:sp macro="" textlink="">
      <xdr:nvSpPr>
        <xdr:cNvPr id="27" name="Cloud Callout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6086473" y="38014274"/>
          <a:ext cx="5295901" cy="1685925"/>
        </a:xfrm>
        <a:prstGeom prst="cloudCallout">
          <a:avLst>
            <a:gd name="adj1" fmla="val -59811"/>
            <a:gd name="adj2" fmla="val 2438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Constraint of the type  </a:t>
          </a:r>
        </a:p>
        <a:p>
          <a:pPr algn="l"/>
          <a:endParaRPr lang="en-IN" sz="1100" b="0" i="0">
            <a:latin typeface="+mn-lt"/>
          </a:endParaRPr>
        </a:p>
        <a:p>
          <a:pPr algn="l"/>
          <a:r>
            <a:rPr lang="en-US" sz="1400" b="1" i="0">
              <a:latin typeface="Cambria Math"/>
            </a:rPr>
            <a:t>0≤𝑀𝑜𝑛𝑒𝑦 𝑙𝑒𝑛𝑡 𝑜𝑢𝑡≤</a:t>
          </a:r>
          <a:r>
            <a:rPr lang="en-IN" sz="1400" b="1"/>
            <a:t> </a:t>
          </a:r>
          <a:r>
            <a:rPr lang="en-IN" sz="1400" b="1" i="1"/>
            <a:t>Maximum Cash Receipts</a:t>
          </a:r>
          <a:r>
            <a:rPr lang="en-IN" sz="1400" b="1" baseline="0"/>
            <a:t> (based on collection fraction, for a particular month)</a:t>
          </a:r>
          <a:endParaRPr lang="en-IN" sz="1400" b="1"/>
        </a:p>
      </xdr:txBody>
    </xdr:sp>
    <xdr:clientData/>
  </xdr:twoCellAnchor>
  <xdr:twoCellAnchor>
    <xdr:from>
      <xdr:col>6</xdr:col>
      <xdr:colOff>485773</xdr:colOff>
      <xdr:row>206</xdr:row>
      <xdr:rowOff>19051</xdr:rowOff>
    </xdr:from>
    <xdr:to>
      <xdr:col>19</xdr:col>
      <xdr:colOff>400050</xdr:colOff>
      <xdr:row>215</xdr:row>
      <xdr:rowOff>133350</xdr:rowOff>
    </xdr:to>
    <xdr:sp macro="" textlink="">
      <xdr:nvSpPr>
        <xdr:cNvPr id="28" name="Cloud Callout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4600573" y="39576376"/>
          <a:ext cx="7839077" cy="1838324"/>
        </a:xfrm>
        <a:prstGeom prst="cloudCallout">
          <a:avLst>
            <a:gd name="adj1" fmla="val -62132"/>
            <a:gd name="adj2" fmla="val 2591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Constraint of the type  </a:t>
          </a:r>
        </a:p>
        <a:p>
          <a:pPr algn="l"/>
          <a:endParaRPr lang="en-IN" sz="1100" b="0" i="0">
            <a:latin typeface="+mn-lt"/>
          </a:endParaRPr>
        </a:p>
        <a:p>
          <a:pPr algn="l"/>
          <a:r>
            <a:rPr lang="en-IN" sz="1400" b="1" i="0" u="none" strike="noStrike">
              <a:solidFill>
                <a:schemeClr val="dk1"/>
              </a:solidFill>
              <a:effectLst/>
              <a:latin typeface="Cambria Math"/>
              <a:ea typeface="+mn-ea"/>
              <a:cs typeface="+mn-cs"/>
            </a:rPr>
            <a:t>"Final cash balance=Intial cash balance+interest received for any maturing investment that month-interest paid for any maturing debt that month-interest for any long term debt that month+any maturing investment-any maturing debt </a:t>
          </a:r>
          <a:r>
            <a:rPr lang="en-IN" sz="1400" b="1" i="0">
              <a:latin typeface="Cambria Math"/>
            </a:rPr>
            <a:t> </a:t>
          </a:r>
          <a:r>
            <a:rPr lang="en-IN" sz="1400" b="1" i="0"/>
            <a:t>"</a:t>
          </a:r>
          <a:endParaRPr lang="en-IN" sz="1400" b="1" i="1"/>
        </a:p>
      </xdr:txBody>
    </xdr:sp>
    <xdr:clientData/>
  </xdr:twoCellAnchor>
  <xdr:twoCellAnchor>
    <xdr:from>
      <xdr:col>6</xdr:col>
      <xdr:colOff>104774</xdr:colOff>
      <xdr:row>225</xdr:row>
      <xdr:rowOff>76200</xdr:rowOff>
    </xdr:from>
    <xdr:to>
      <xdr:col>12</xdr:col>
      <xdr:colOff>19049</xdr:colOff>
      <xdr:row>233</xdr:row>
      <xdr:rowOff>152400</xdr:rowOff>
    </xdr:to>
    <xdr:sp macro="" textlink="">
      <xdr:nvSpPr>
        <xdr:cNvPr id="29" name="Cloud Callout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6210299" y="43386375"/>
          <a:ext cx="3571875" cy="1628775"/>
        </a:xfrm>
        <a:prstGeom prst="cloudCallout">
          <a:avLst>
            <a:gd name="adj1" fmla="val -67210"/>
            <a:gd name="adj2" fmla="val 512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Constraint</a:t>
          </a:r>
          <a:r>
            <a:rPr lang="en-IN" sz="1100" baseline="0"/>
            <a:t> of the type</a:t>
          </a:r>
        </a:p>
        <a:p>
          <a:pPr algn="l"/>
          <a:r>
            <a:rPr lang="en-IN" sz="1400" b="1" baseline="0"/>
            <a:t>To ensure % of collections is non negative and within 100%</a:t>
          </a:r>
          <a:endParaRPr lang="en-IN" sz="1400" b="1"/>
        </a:p>
      </xdr:txBody>
    </xdr:sp>
    <xdr:clientData/>
  </xdr:twoCellAnchor>
  <xdr:twoCellAnchor>
    <xdr:from>
      <xdr:col>4</xdr:col>
      <xdr:colOff>266700</xdr:colOff>
      <xdr:row>236</xdr:row>
      <xdr:rowOff>133350</xdr:rowOff>
    </xdr:from>
    <xdr:to>
      <xdr:col>10</xdr:col>
      <xdr:colOff>133350</xdr:colOff>
      <xdr:row>242</xdr:row>
      <xdr:rowOff>76200</xdr:rowOff>
    </xdr:to>
    <xdr:sp macro="" textlink="">
      <xdr:nvSpPr>
        <xdr:cNvPr id="30" name="Cloud Callout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3162300" y="45472350"/>
          <a:ext cx="3524250" cy="1085850"/>
        </a:xfrm>
        <a:prstGeom prst="cloudCallout">
          <a:avLst>
            <a:gd name="adj1" fmla="val -70563"/>
            <a:gd name="adj2" fmla="val 636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Constraint of the type</a:t>
          </a:r>
        </a:p>
        <a:p>
          <a:pPr algn="l"/>
          <a:r>
            <a:rPr lang="en-US" sz="1400" b="1" i="0">
              <a:latin typeface="Cambria Math"/>
            </a:rPr>
            <a:t>0≤𝐴𝑚𝑜𝑢𝑛𝑡 𝑏𝑜𝑟𝑟𝑜𝑤𝑒𝑑</a:t>
          </a:r>
          <a:r>
            <a:rPr lang="en-IN" sz="1400" b="1"/>
            <a:t> </a:t>
          </a:r>
        </a:p>
      </xdr:txBody>
    </xdr:sp>
    <xdr:clientData/>
  </xdr:twoCellAnchor>
  <xdr:twoCellAnchor>
    <xdr:from>
      <xdr:col>5</xdr:col>
      <xdr:colOff>581025</xdr:colOff>
      <xdr:row>299</xdr:row>
      <xdr:rowOff>47624</xdr:rowOff>
    </xdr:from>
    <xdr:to>
      <xdr:col>10</xdr:col>
      <xdr:colOff>314325</xdr:colOff>
      <xdr:row>306</xdr:row>
      <xdr:rowOff>95249</xdr:rowOff>
    </xdr:to>
    <xdr:sp macro="" textlink="">
      <xdr:nvSpPr>
        <xdr:cNvPr id="32" name="Cloud Callout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4524375" y="57397649"/>
          <a:ext cx="2781300" cy="1381125"/>
        </a:xfrm>
        <a:prstGeom prst="cloudCallout">
          <a:avLst>
            <a:gd name="adj1" fmla="val -59532"/>
            <a:gd name="adj2" fmla="val 633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What</a:t>
          </a:r>
          <a:r>
            <a:rPr lang="en-IN" sz="1100" baseline="0"/>
            <a:t> happens during each month so as to maintain a constant minimum cash balance...</a:t>
          </a:r>
          <a:endParaRPr lang="en-IN" sz="1100"/>
        </a:p>
      </xdr:txBody>
    </xdr:sp>
    <xdr:clientData/>
  </xdr:twoCellAnchor>
  <xdr:twoCellAnchor>
    <xdr:from>
      <xdr:col>8</xdr:col>
      <xdr:colOff>190500</xdr:colOff>
      <xdr:row>314</xdr:row>
      <xdr:rowOff>152400</xdr:rowOff>
    </xdr:from>
    <xdr:to>
      <xdr:col>12</xdr:col>
      <xdr:colOff>533400</xdr:colOff>
      <xdr:row>322</xdr:row>
      <xdr:rowOff>0</xdr:rowOff>
    </xdr:to>
    <xdr:sp macro="" textlink="">
      <xdr:nvSpPr>
        <xdr:cNvPr id="33" name="Cloud Callout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>
          <a:off x="7515225" y="60378975"/>
          <a:ext cx="2781300" cy="1371600"/>
        </a:xfrm>
        <a:prstGeom prst="cloudCallout">
          <a:avLst>
            <a:gd name="adj1" fmla="val -72203"/>
            <a:gd name="adj2" fmla="val 3588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Remember  we borrow only if our cash balance is less than intended minimum cash balance</a:t>
          </a:r>
          <a:endParaRPr lang="en-IN" sz="1100"/>
        </a:p>
      </xdr:txBody>
    </xdr:sp>
    <xdr:clientData/>
  </xdr:twoCellAnchor>
  <xdr:twoCellAnchor>
    <xdr:from>
      <xdr:col>8</xdr:col>
      <xdr:colOff>180974</xdr:colOff>
      <xdr:row>306</xdr:row>
      <xdr:rowOff>123824</xdr:rowOff>
    </xdr:from>
    <xdr:to>
      <xdr:col>14</xdr:col>
      <xdr:colOff>380999</xdr:colOff>
      <xdr:row>313</xdr:row>
      <xdr:rowOff>152399</xdr:rowOff>
    </xdr:to>
    <xdr:sp macro="" textlink="">
      <xdr:nvSpPr>
        <xdr:cNvPr id="34" name="Cloud Callout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5953124" y="58807349"/>
          <a:ext cx="3857625" cy="1381125"/>
        </a:xfrm>
        <a:prstGeom prst="cloudCallout">
          <a:avLst>
            <a:gd name="adj1" fmla="val -66693"/>
            <a:gd name="adj2" fmla="val 3296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Note we lent out cash only</a:t>
          </a:r>
          <a:r>
            <a:rPr lang="en-IN" sz="1100" baseline="0"/>
            <a:t> if our cash balance is more than our intended minimum cash balance</a:t>
          </a:r>
          <a:endParaRPr lang="en-IN" sz="1100"/>
        </a:p>
      </xdr:txBody>
    </xdr:sp>
    <xdr:clientData/>
  </xdr:twoCellAnchor>
  <xdr:twoCellAnchor>
    <xdr:from>
      <xdr:col>8</xdr:col>
      <xdr:colOff>19050</xdr:colOff>
      <xdr:row>322</xdr:row>
      <xdr:rowOff>104775</xdr:rowOff>
    </xdr:from>
    <xdr:to>
      <xdr:col>14</xdr:col>
      <xdr:colOff>9525</xdr:colOff>
      <xdr:row>327</xdr:row>
      <xdr:rowOff>76200</xdr:rowOff>
    </xdr:to>
    <xdr:sp macro="" textlink="">
      <xdr:nvSpPr>
        <xdr:cNvPr id="35" name="Cloud Callout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7343775" y="61855350"/>
          <a:ext cx="3648075" cy="923925"/>
        </a:xfrm>
        <a:prstGeom prst="cloudCallout">
          <a:avLst>
            <a:gd name="adj1" fmla="val -63392"/>
            <a:gd name="adj2" fmla="val 786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When we get  the amount that was lent out for borrowing....</a:t>
          </a:r>
        </a:p>
      </xdr:txBody>
    </xdr:sp>
    <xdr:clientData/>
  </xdr:twoCellAnchor>
  <xdr:twoCellAnchor>
    <xdr:from>
      <xdr:col>8</xdr:col>
      <xdr:colOff>19050</xdr:colOff>
      <xdr:row>328</xdr:row>
      <xdr:rowOff>171450</xdr:rowOff>
    </xdr:from>
    <xdr:to>
      <xdr:col>14</xdr:col>
      <xdr:colOff>9525</xdr:colOff>
      <xdr:row>333</xdr:row>
      <xdr:rowOff>142875</xdr:rowOff>
    </xdr:to>
    <xdr:sp macro="" textlink="">
      <xdr:nvSpPr>
        <xdr:cNvPr id="31" name="Cloud Callout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7343775" y="63065025"/>
          <a:ext cx="3648075" cy="923925"/>
        </a:xfrm>
        <a:prstGeom prst="cloudCallout">
          <a:avLst>
            <a:gd name="adj1" fmla="val -63392"/>
            <a:gd name="adj2" fmla="val 786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When we give</a:t>
          </a:r>
          <a:r>
            <a:rPr lang="en-IN" sz="1100" baseline="0"/>
            <a:t> back</a:t>
          </a:r>
          <a:r>
            <a:rPr lang="en-IN" sz="1100"/>
            <a:t>  the amount that was borrowed....</a:t>
          </a:r>
        </a:p>
      </xdr:txBody>
    </xdr:sp>
    <xdr:clientData/>
  </xdr:twoCellAnchor>
  <xdr:twoCellAnchor>
    <xdr:from>
      <xdr:col>8</xdr:col>
      <xdr:colOff>276225</xdr:colOff>
      <xdr:row>339</xdr:row>
      <xdr:rowOff>0</xdr:rowOff>
    </xdr:from>
    <xdr:to>
      <xdr:col>14</xdr:col>
      <xdr:colOff>266700</xdr:colOff>
      <xdr:row>345</xdr:row>
      <xdr:rowOff>142875</xdr:rowOff>
    </xdr:to>
    <xdr:sp macro="" textlink="">
      <xdr:nvSpPr>
        <xdr:cNvPr id="36" name="Cloud Callout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7600950" y="64989075"/>
          <a:ext cx="3648075" cy="1285875"/>
        </a:xfrm>
        <a:prstGeom prst="cloudCallout">
          <a:avLst>
            <a:gd name="adj1" fmla="val -73315"/>
            <a:gd name="adj2" fmla="val -9814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At present what we have as the net amount after giving back what was borrowed and taking back what</a:t>
          </a:r>
          <a:r>
            <a:rPr lang="en-IN" sz="1100" baseline="0"/>
            <a:t> was lent out for borrowing..</a:t>
          </a:r>
          <a:endParaRPr lang="en-IN" sz="1100"/>
        </a:p>
      </xdr:txBody>
    </xdr:sp>
    <xdr:clientData/>
  </xdr:twoCellAnchor>
  <xdr:twoCellAnchor>
    <xdr:from>
      <xdr:col>8</xdr:col>
      <xdr:colOff>419100</xdr:colOff>
      <xdr:row>333</xdr:row>
      <xdr:rowOff>133349</xdr:rowOff>
    </xdr:from>
    <xdr:to>
      <xdr:col>13</xdr:col>
      <xdr:colOff>533400</xdr:colOff>
      <xdr:row>338</xdr:row>
      <xdr:rowOff>152400</xdr:rowOff>
    </xdr:to>
    <xdr:sp macro="" textlink="">
      <xdr:nvSpPr>
        <xdr:cNvPr id="37" name="Cloud Callout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>
          <a:off x="7743825" y="63979424"/>
          <a:ext cx="3162300" cy="971551"/>
        </a:xfrm>
        <a:prstGeom prst="cloudCallout">
          <a:avLst>
            <a:gd name="adj1" fmla="val -85575"/>
            <a:gd name="adj2" fmla="val -4828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The</a:t>
          </a:r>
          <a:r>
            <a:rPr lang="en-IN" sz="1100" baseline="0"/>
            <a:t> net amount that we have including the interest received from our  investment</a:t>
          </a:r>
          <a:endParaRPr lang="en-IN" sz="1100"/>
        </a:p>
      </xdr:txBody>
    </xdr:sp>
    <xdr:clientData/>
  </xdr:twoCellAnchor>
  <xdr:twoCellAnchor>
    <xdr:from>
      <xdr:col>9</xdr:col>
      <xdr:colOff>171450</xdr:colOff>
      <xdr:row>345</xdr:row>
      <xdr:rowOff>171449</xdr:rowOff>
    </xdr:from>
    <xdr:to>
      <xdr:col>10</xdr:col>
      <xdr:colOff>533400</xdr:colOff>
      <xdr:row>355</xdr:row>
      <xdr:rowOff>142874</xdr:rowOff>
    </xdr:to>
    <xdr:sp macro="" textlink="">
      <xdr:nvSpPr>
        <xdr:cNvPr id="38" name="Line Callout 1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8105775" y="66303524"/>
          <a:ext cx="971550" cy="1876425"/>
        </a:xfrm>
        <a:prstGeom prst="borderCallout1">
          <a:avLst>
            <a:gd name="adj1" fmla="val 28450"/>
            <a:gd name="adj2" fmla="val -1470"/>
            <a:gd name="adj3" fmla="val -84619"/>
            <a:gd name="adj4" fmla="val -14127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Interest that can be paid after</a:t>
          </a:r>
          <a:r>
            <a:rPr lang="en-US" sz="1100" baseline="0"/>
            <a:t> deducting all the money we are liable to pay excluding interest payable</a:t>
          </a:r>
          <a:endParaRPr lang="en-US" sz="1100"/>
        </a:p>
      </xdr:txBody>
    </xdr:sp>
    <xdr:clientData/>
  </xdr:twoCellAnchor>
  <xdr:twoCellAnchor>
    <xdr:from>
      <xdr:col>7</xdr:col>
      <xdr:colOff>219075</xdr:colOff>
      <xdr:row>347</xdr:row>
      <xdr:rowOff>171450</xdr:rowOff>
    </xdr:from>
    <xdr:to>
      <xdr:col>8</xdr:col>
      <xdr:colOff>581025</xdr:colOff>
      <xdr:row>357</xdr:row>
      <xdr:rowOff>133350</xdr:rowOff>
    </xdr:to>
    <xdr:sp macro="" textlink="">
      <xdr:nvSpPr>
        <xdr:cNvPr id="39" name="Line Callout 1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>
          <a:off x="6934200" y="66684525"/>
          <a:ext cx="971550" cy="1866900"/>
        </a:xfrm>
        <a:prstGeom prst="borderCallout1">
          <a:avLst>
            <a:gd name="adj1" fmla="val -638"/>
            <a:gd name="adj2" fmla="val 18138"/>
            <a:gd name="adj3" fmla="val -83875"/>
            <a:gd name="adj4" fmla="val -1970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The interest that we are liable to pay because we have borrowed some amount..</a:t>
          </a:r>
        </a:p>
      </xdr:txBody>
    </xdr:sp>
    <xdr:clientData/>
  </xdr:twoCellAnchor>
  <xdr:twoCellAnchor>
    <xdr:from>
      <xdr:col>7</xdr:col>
      <xdr:colOff>161925</xdr:colOff>
      <xdr:row>359</xdr:row>
      <xdr:rowOff>66675</xdr:rowOff>
    </xdr:from>
    <xdr:to>
      <xdr:col>13</xdr:col>
      <xdr:colOff>219075</xdr:colOff>
      <xdr:row>370</xdr:row>
      <xdr:rowOff>38100</xdr:rowOff>
    </xdr:to>
    <xdr:sp macro="" textlink="">
      <xdr:nvSpPr>
        <xdr:cNvPr id="40" name="Cloud Callout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/>
      </xdr:nvSpPr>
      <xdr:spPr>
        <a:xfrm>
          <a:off x="6877050" y="68865750"/>
          <a:ext cx="3714750" cy="2076450"/>
        </a:xfrm>
        <a:prstGeom prst="cloudCallout">
          <a:avLst>
            <a:gd name="adj1" fmla="val -51346"/>
            <a:gd name="adj2" fmla="val -57684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Split up of the interest</a:t>
          </a:r>
          <a:r>
            <a:rPr lang="en-US" sz="1100" baseline="0"/>
            <a:t> showing how  and from where we have obtained our interest from  ie which principle's interest has accumulated in giving us the net interest</a:t>
          </a:r>
          <a:endParaRPr lang="en-US" sz="1100"/>
        </a:p>
      </xdr:txBody>
    </xdr:sp>
    <xdr:clientData/>
  </xdr:twoCellAnchor>
  <xdr:twoCellAnchor>
    <xdr:from>
      <xdr:col>3</xdr:col>
      <xdr:colOff>85725</xdr:colOff>
      <xdr:row>365</xdr:row>
      <xdr:rowOff>38100</xdr:rowOff>
    </xdr:from>
    <xdr:to>
      <xdr:col>7</xdr:col>
      <xdr:colOff>180975</xdr:colOff>
      <xdr:row>371</xdr:row>
      <xdr:rowOff>38100</xdr:rowOff>
    </xdr:to>
    <xdr:sp macro="" textlink="">
      <xdr:nvSpPr>
        <xdr:cNvPr id="41" name="Cloud Callout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/>
      </xdr:nvSpPr>
      <xdr:spPr>
        <a:xfrm>
          <a:off x="4362450" y="70008750"/>
          <a:ext cx="2533650" cy="1162050"/>
        </a:xfrm>
        <a:prstGeom prst="cloudCallout">
          <a:avLst>
            <a:gd name="adj1" fmla="val -36308"/>
            <a:gd name="adj2" fmla="val -94351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Similar split up for the interest</a:t>
          </a:r>
          <a:r>
            <a:rPr lang="en-US" sz="1100" baseline="0"/>
            <a:t> paid....</a:t>
          </a:r>
          <a:endParaRPr lang="en-US" sz="1100"/>
        </a:p>
      </xdr:txBody>
    </xdr:sp>
    <xdr:clientData/>
  </xdr:twoCellAnchor>
  <xdr:twoCellAnchor>
    <xdr:from>
      <xdr:col>0</xdr:col>
      <xdr:colOff>171450</xdr:colOff>
      <xdr:row>201</xdr:row>
      <xdr:rowOff>171450</xdr:rowOff>
    </xdr:from>
    <xdr:to>
      <xdr:col>0</xdr:col>
      <xdr:colOff>2286000</xdr:colOff>
      <xdr:row>212</xdr:row>
      <xdr:rowOff>76200</xdr:rowOff>
    </xdr:to>
    <xdr:sp macro="" textlink="">
      <xdr:nvSpPr>
        <xdr:cNvPr id="42" name="6-Point Star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/>
      </xdr:nvSpPr>
      <xdr:spPr>
        <a:xfrm>
          <a:off x="171450" y="38776275"/>
          <a:ext cx="2114550" cy="2000250"/>
        </a:xfrm>
        <a:prstGeom prst="star6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/>
            <a:t>CONSTRAINTS</a:t>
          </a:r>
        </a:p>
      </xdr:txBody>
    </xdr:sp>
    <xdr:clientData/>
  </xdr:twoCellAnchor>
  <xdr:twoCellAnchor>
    <xdr:from>
      <xdr:col>0</xdr:col>
      <xdr:colOff>0</xdr:colOff>
      <xdr:row>235</xdr:row>
      <xdr:rowOff>95250</xdr:rowOff>
    </xdr:from>
    <xdr:to>
      <xdr:col>0</xdr:col>
      <xdr:colOff>2114550</xdr:colOff>
      <xdr:row>245</xdr:row>
      <xdr:rowOff>190500</xdr:rowOff>
    </xdr:to>
    <xdr:sp macro="" textlink="">
      <xdr:nvSpPr>
        <xdr:cNvPr id="43" name="6-Point Star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/>
      </xdr:nvSpPr>
      <xdr:spPr>
        <a:xfrm>
          <a:off x="0" y="45243750"/>
          <a:ext cx="2114550" cy="2000250"/>
        </a:xfrm>
        <a:prstGeom prst="star6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/>
            <a:t>CONSTRAINTS</a:t>
          </a:r>
        </a:p>
      </xdr:txBody>
    </xdr:sp>
    <xdr:clientData/>
  </xdr:twoCellAnchor>
  <xdr:twoCellAnchor>
    <xdr:from>
      <xdr:col>0</xdr:col>
      <xdr:colOff>200025</xdr:colOff>
      <xdr:row>219</xdr:row>
      <xdr:rowOff>0</xdr:rowOff>
    </xdr:from>
    <xdr:to>
      <xdr:col>0</xdr:col>
      <xdr:colOff>2314575</xdr:colOff>
      <xdr:row>227</xdr:row>
      <xdr:rowOff>85725</xdr:rowOff>
    </xdr:to>
    <xdr:sp macro="" textlink="">
      <xdr:nvSpPr>
        <xdr:cNvPr id="44" name="6-Point Star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/>
      </xdr:nvSpPr>
      <xdr:spPr>
        <a:xfrm>
          <a:off x="200025" y="42052875"/>
          <a:ext cx="2114550" cy="1619250"/>
        </a:xfrm>
        <a:prstGeom prst="star6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/>
            <a:t>CONSTRAINTS</a:t>
          </a:r>
        </a:p>
      </xdr:txBody>
    </xdr:sp>
    <xdr:clientData/>
  </xdr:twoCellAnchor>
  <xdr:twoCellAnchor>
    <xdr:from>
      <xdr:col>4</xdr:col>
      <xdr:colOff>209550</xdr:colOff>
      <xdr:row>372</xdr:row>
      <xdr:rowOff>9526</xdr:rowOff>
    </xdr:from>
    <xdr:to>
      <xdr:col>12</xdr:col>
      <xdr:colOff>180975</xdr:colOff>
      <xdr:row>378</xdr:row>
      <xdr:rowOff>104776</xdr:rowOff>
    </xdr:to>
    <xdr:sp macro="" textlink="">
      <xdr:nvSpPr>
        <xdr:cNvPr id="45" name="Cloud Callout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/>
      </xdr:nvSpPr>
      <xdr:spPr>
        <a:xfrm>
          <a:off x="5095875" y="71332726"/>
          <a:ext cx="4848225" cy="1276350"/>
        </a:xfrm>
        <a:prstGeom prst="cloudCallout">
          <a:avLst>
            <a:gd name="adj1" fmla="val -62876"/>
            <a:gd name="adj2" fmla="val -93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400" b="1"/>
            <a:t>THE INPUT TABLE FOR POLICY VARIABLES</a:t>
          </a:r>
        </a:p>
      </xdr:txBody>
    </xdr:sp>
    <xdr:clientData/>
  </xdr:twoCellAnchor>
  <xdr:twoCellAnchor>
    <xdr:from>
      <xdr:col>3</xdr:col>
      <xdr:colOff>514350</xdr:colOff>
      <xdr:row>146</xdr:row>
      <xdr:rowOff>123825</xdr:rowOff>
    </xdr:from>
    <xdr:to>
      <xdr:col>7</xdr:col>
      <xdr:colOff>419100</xdr:colOff>
      <xdr:row>155</xdr:row>
      <xdr:rowOff>57150</xdr:rowOff>
    </xdr:to>
    <xdr:sp macro="" textlink="">
      <xdr:nvSpPr>
        <xdr:cNvPr id="46" name="Cloud Callout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/>
      </xdr:nvSpPr>
      <xdr:spPr>
        <a:xfrm>
          <a:off x="4791075" y="28279725"/>
          <a:ext cx="2343150" cy="1666875"/>
        </a:xfrm>
        <a:prstGeom prst="cloudCallout">
          <a:avLst>
            <a:gd name="adj1" fmla="val -67581"/>
            <a:gd name="adj2" fmla="val 5502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/>
            <a:t>THE INPUT TABLE FOR</a:t>
          </a:r>
          <a:r>
            <a:rPr lang="en-US" sz="1600" baseline="0"/>
            <a:t> DECISION VARIABLES</a:t>
          </a:r>
          <a:endParaRPr lang="en-US" sz="1600"/>
        </a:p>
      </xdr:txBody>
    </xdr:sp>
    <xdr:clientData/>
  </xdr:twoCellAnchor>
  <xdr:twoCellAnchor>
    <xdr:from>
      <xdr:col>2</xdr:col>
      <xdr:colOff>457200</xdr:colOff>
      <xdr:row>141</xdr:row>
      <xdr:rowOff>76200</xdr:rowOff>
    </xdr:from>
    <xdr:to>
      <xdr:col>3</xdr:col>
      <xdr:colOff>276225</xdr:colOff>
      <xdr:row>151</xdr:row>
      <xdr:rowOff>28575</xdr:rowOff>
    </xdr:to>
    <xdr:sp macro="" textlink="">
      <xdr:nvSpPr>
        <xdr:cNvPr id="47" name="Line Callout 1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/>
      </xdr:nvSpPr>
      <xdr:spPr>
        <a:xfrm>
          <a:off x="3667125" y="27165300"/>
          <a:ext cx="885825" cy="1866900"/>
        </a:xfrm>
        <a:prstGeom prst="borderCallout1">
          <a:avLst>
            <a:gd name="adj1" fmla="val 20281"/>
            <a:gd name="adj2" fmla="val -1881"/>
            <a:gd name="adj3" fmla="val 112500"/>
            <a:gd name="adj4" fmla="val -3833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These values are not inputted by the user ...infact</a:t>
          </a:r>
          <a:r>
            <a:rPr lang="en-US" sz="1100" baseline="0"/>
            <a:t> they generated by the Linear program....</a:t>
          </a:r>
          <a:endParaRPr lang="en-US" sz="1100"/>
        </a:p>
      </xdr:txBody>
    </xdr:sp>
    <xdr:clientData/>
  </xdr:twoCellAnchor>
  <xdr:twoCellAnchor>
    <xdr:from>
      <xdr:col>3</xdr:col>
      <xdr:colOff>180976</xdr:colOff>
      <xdr:row>164</xdr:row>
      <xdr:rowOff>19050</xdr:rowOff>
    </xdr:from>
    <xdr:to>
      <xdr:col>8</xdr:col>
      <xdr:colOff>304800</xdr:colOff>
      <xdr:row>170</xdr:row>
      <xdr:rowOff>28575</xdr:rowOff>
    </xdr:to>
    <xdr:sp macro="" textlink="">
      <xdr:nvSpPr>
        <xdr:cNvPr id="48" name="Line Callout 1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/>
      </xdr:nvSpPr>
      <xdr:spPr>
        <a:xfrm>
          <a:off x="4457701" y="31575375"/>
          <a:ext cx="3171824" cy="1152525"/>
        </a:xfrm>
        <a:prstGeom prst="borderCallout1">
          <a:avLst>
            <a:gd name="adj1" fmla="val 25154"/>
            <a:gd name="adj2" fmla="val -536"/>
            <a:gd name="adj3" fmla="val 202583"/>
            <a:gd name="adj4" fmla="val -6871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The formula used </a:t>
          </a:r>
          <a:r>
            <a:rPr lang="en-US" sz="1400" b="1"/>
            <a:t>is (Interest received - Interest paid)</a:t>
          </a:r>
        </a:p>
      </xdr:txBody>
    </xdr:sp>
    <xdr:clientData/>
  </xdr:twoCellAnchor>
  <xdr:twoCellAnchor>
    <xdr:from>
      <xdr:col>1</xdr:col>
      <xdr:colOff>438150</xdr:colOff>
      <xdr:row>118</xdr:row>
      <xdr:rowOff>95250</xdr:rowOff>
    </xdr:from>
    <xdr:to>
      <xdr:col>5</xdr:col>
      <xdr:colOff>304800</xdr:colOff>
      <xdr:row>122</xdr:row>
      <xdr:rowOff>161925</xdr:rowOff>
    </xdr:to>
    <xdr:sp macro="" textlink="">
      <xdr:nvSpPr>
        <xdr:cNvPr id="49" name="Line Callout 1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/>
      </xdr:nvSpPr>
      <xdr:spPr>
        <a:xfrm>
          <a:off x="3038475" y="22831425"/>
          <a:ext cx="2762250" cy="847725"/>
        </a:xfrm>
        <a:prstGeom prst="borderCallout1">
          <a:avLst>
            <a:gd name="adj1" fmla="val 28096"/>
            <a:gd name="adj2" fmla="val 338"/>
            <a:gd name="adj3" fmla="val 158567"/>
            <a:gd name="adj4" fmla="val -69712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The interest rates for  each lenting out(for x days depending on value in bracket) for each month(from january to june)</a:t>
          </a:r>
        </a:p>
      </xdr:txBody>
    </xdr:sp>
    <xdr:clientData/>
  </xdr:twoCellAnchor>
  <xdr:twoCellAnchor>
    <xdr:from>
      <xdr:col>2</xdr:col>
      <xdr:colOff>485775</xdr:colOff>
      <xdr:row>131</xdr:row>
      <xdr:rowOff>133350</xdr:rowOff>
    </xdr:from>
    <xdr:to>
      <xdr:col>6</xdr:col>
      <xdr:colOff>352425</xdr:colOff>
      <xdr:row>136</xdr:row>
      <xdr:rowOff>28575</xdr:rowOff>
    </xdr:to>
    <xdr:sp macro="" textlink="">
      <xdr:nvSpPr>
        <xdr:cNvPr id="50" name="Line Callout 1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/>
      </xdr:nvSpPr>
      <xdr:spPr>
        <a:xfrm>
          <a:off x="3695700" y="25384125"/>
          <a:ext cx="2762250" cy="847725"/>
        </a:xfrm>
        <a:prstGeom prst="borderCallout1">
          <a:avLst>
            <a:gd name="adj1" fmla="val 28096"/>
            <a:gd name="adj2" fmla="val 338"/>
            <a:gd name="adj3" fmla="val 128230"/>
            <a:gd name="adj4" fmla="val -112126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The interest rates for  each borrowing(for x days depending on value in bracket) for each month(from january to june)</a:t>
          </a:r>
        </a:p>
      </xdr:txBody>
    </xdr:sp>
    <xdr:clientData/>
  </xdr:twoCellAnchor>
  <xdr:twoCellAnchor>
    <xdr:from>
      <xdr:col>9</xdr:col>
      <xdr:colOff>590550</xdr:colOff>
      <xdr:row>162</xdr:row>
      <xdr:rowOff>9524</xdr:rowOff>
    </xdr:from>
    <xdr:to>
      <xdr:col>15</xdr:col>
      <xdr:colOff>409575</xdr:colOff>
      <xdr:row>172</xdr:row>
      <xdr:rowOff>66674</xdr:rowOff>
    </xdr:to>
    <xdr:sp macro="" textlink="">
      <xdr:nvSpPr>
        <xdr:cNvPr id="51" name="Line Callout 1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>
          <a:off x="8524875" y="31184849"/>
          <a:ext cx="3476625" cy="1971675"/>
        </a:xfrm>
        <a:prstGeom prst="borderCallout1">
          <a:avLst>
            <a:gd name="adj1" fmla="val 25337"/>
            <a:gd name="adj2" fmla="val -504"/>
            <a:gd name="adj3" fmla="val 146632"/>
            <a:gd name="adj4" fmla="val -6110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2400"/>
            <a:t>CD denotes Cash Disbursement &amp;</a:t>
          </a:r>
        </a:p>
        <a:p>
          <a:pPr algn="ctr"/>
          <a:r>
            <a:rPr lang="en-US" sz="2400"/>
            <a:t>N/P</a:t>
          </a:r>
          <a:r>
            <a:rPr lang="en-US" sz="2400" baseline="0"/>
            <a:t> denotes Notes Payable</a:t>
          </a:r>
          <a:endParaRPr lang="en-US" sz="2400"/>
        </a:p>
        <a:p>
          <a:pPr algn="ctr"/>
          <a:endParaRPr lang="en-US" sz="2400"/>
        </a:p>
      </xdr:txBody>
    </xdr:sp>
    <xdr:clientData/>
  </xdr:twoCellAnchor>
  <xdr:twoCellAnchor>
    <xdr:from>
      <xdr:col>10</xdr:col>
      <xdr:colOff>390525</xdr:colOff>
      <xdr:row>17</xdr:row>
      <xdr:rowOff>38100</xdr:rowOff>
    </xdr:from>
    <xdr:to>
      <xdr:col>13</xdr:col>
      <xdr:colOff>581025</xdr:colOff>
      <xdr:row>20</xdr:row>
      <xdr:rowOff>50673</xdr:rowOff>
    </xdr:to>
    <xdr:sp macro="" textlink="">
      <xdr:nvSpPr>
        <xdr:cNvPr id="52" name="Line Callout 1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/>
      </xdr:nvSpPr>
      <xdr:spPr>
        <a:xfrm>
          <a:off x="8934450" y="3305175"/>
          <a:ext cx="2019300" cy="612648"/>
        </a:xfrm>
        <a:prstGeom prst="borderCallout1">
          <a:avLst>
            <a:gd name="adj1" fmla="val 17195"/>
            <a:gd name="adj2" fmla="val -1041"/>
            <a:gd name="adj3" fmla="val 132712"/>
            <a:gd name="adj4" fmla="val -257005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The other input Variables.....</a:t>
          </a:r>
        </a:p>
      </xdr:txBody>
    </xdr:sp>
    <xdr:clientData/>
  </xdr:twoCellAnchor>
  <xdr:twoCellAnchor>
    <xdr:from>
      <xdr:col>0</xdr:col>
      <xdr:colOff>657225</xdr:colOff>
      <xdr:row>178</xdr:row>
      <xdr:rowOff>114300</xdr:rowOff>
    </xdr:from>
    <xdr:to>
      <xdr:col>1</xdr:col>
      <xdr:colOff>38100</xdr:colOff>
      <xdr:row>188</xdr:row>
      <xdr:rowOff>28575</xdr:rowOff>
    </xdr:to>
    <xdr:sp macro="" textlink="">
      <xdr:nvSpPr>
        <xdr:cNvPr id="53" name="6-Point Star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/>
      </xdr:nvSpPr>
      <xdr:spPr>
        <a:xfrm>
          <a:off x="657225" y="34366200"/>
          <a:ext cx="1981200" cy="1828800"/>
        </a:xfrm>
        <a:prstGeom prst="star6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800"/>
            <a:t>OBJECTIVE FUNCTION</a:t>
          </a:r>
        </a:p>
      </xdr:txBody>
    </xdr:sp>
    <xdr:clientData/>
  </xdr:twoCellAnchor>
  <xdr:twoCellAnchor>
    <xdr:from>
      <xdr:col>7</xdr:col>
      <xdr:colOff>419100</xdr:colOff>
      <xdr:row>111</xdr:row>
      <xdr:rowOff>85724</xdr:rowOff>
    </xdr:from>
    <xdr:to>
      <xdr:col>17</xdr:col>
      <xdr:colOff>381000</xdr:colOff>
      <xdr:row>149</xdr:row>
      <xdr:rowOff>85724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134225" y="21488399"/>
          <a:ext cx="6057900" cy="73247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solidFill>
                <a:schemeClr val="tx1"/>
              </a:solidFill>
            </a:rPr>
            <a:t>HOW</a:t>
          </a:r>
          <a:r>
            <a:rPr lang="en-IN" sz="1800" baseline="0">
              <a:solidFill>
                <a:schemeClr val="tx1"/>
              </a:solidFill>
            </a:rPr>
            <a:t>  THIS  FUNCTIONS.........</a:t>
          </a: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r>
            <a:rPr lang="en-IN" sz="1800" baseline="0">
              <a:solidFill>
                <a:schemeClr val="tx1"/>
              </a:solidFill>
            </a:rPr>
            <a:t>1) POLICY VARIABLES ARE UTILISED TO FIND OUT WHETHER BORROWING OR LENDING IS REQUIRED IE DECISION VARIABLES...</a:t>
          </a: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r>
            <a:rPr lang="en-IN" sz="1800" baseline="0">
              <a:solidFill>
                <a:schemeClr val="tx1"/>
              </a:solidFill>
            </a:rPr>
            <a:t>2) DECISION VARIABLES HELPS US CALCULATE THE INTEREST RECEIVED OR PAID PER MONTH...</a:t>
          </a: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r>
            <a:rPr lang="en-IN" sz="1800" baseline="0">
              <a:solidFill>
                <a:schemeClr val="tx1"/>
              </a:solidFill>
            </a:rPr>
            <a:t>3) INTEREST RECEIVED-INTEREST PAID IS CALCULATED FOR EACH MONTH AND MAXIMISED TAKING THE CONSTRAINTS...</a:t>
          </a: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r>
            <a:rPr lang="en-IN" sz="1800" baseline="0">
              <a:solidFill>
                <a:schemeClr val="tx1"/>
              </a:solidFill>
            </a:rPr>
            <a:t>4) VALUE FOR OBJECTIVE FUNCTION &amp; DECISION VARIABLES OBTAINED...</a:t>
          </a:r>
        </a:p>
        <a:p>
          <a:pPr algn="l"/>
          <a:endParaRPr lang="en-IN" sz="1800" baseline="0">
            <a:solidFill>
              <a:schemeClr val="tx1"/>
            </a:solidFill>
          </a:endParaRPr>
        </a:p>
        <a:p>
          <a:pPr algn="l"/>
          <a:endParaRPr lang="en-IN" sz="18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390525</xdr:colOff>
      <xdr:row>118</xdr:row>
      <xdr:rowOff>85725</xdr:rowOff>
    </xdr:from>
    <xdr:to>
      <xdr:col>12</xdr:col>
      <xdr:colOff>180975</xdr:colOff>
      <xdr:row>122</xdr:row>
      <xdr:rowOff>152400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9544050" y="22821900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342900</xdr:colOff>
      <xdr:row>131</xdr:row>
      <xdr:rowOff>9525</xdr:rowOff>
    </xdr:from>
    <xdr:to>
      <xdr:col>12</xdr:col>
      <xdr:colOff>133350</xdr:colOff>
      <xdr:row>135</xdr:row>
      <xdr:rowOff>142875</xdr:rowOff>
    </xdr:to>
    <xdr:sp macro="" textlink="">
      <xdr:nvSpPr>
        <xdr:cNvPr id="55" name="Down Arrow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>
          <a:off x="9496425" y="25307925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428625</xdr:colOff>
      <xdr:row>141</xdr:row>
      <xdr:rowOff>9525</xdr:rowOff>
    </xdr:from>
    <xdr:to>
      <xdr:col>12</xdr:col>
      <xdr:colOff>219075</xdr:colOff>
      <xdr:row>145</xdr:row>
      <xdr:rowOff>142875</xdr:rowOff>
    </xdr:to>
    <xdr:sp macro="" textlink="">
      <xdr:nvSpPr>
        <xdr:cNvPr id="56" name="Down Arrow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/>
      </xdr:nvSpPr>
      <xdr:spPr>
        <a:xfrm>
          <a:off x="9582150" y="27212925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76200</xdr:colOff>
      <xdr:row>118</xdr:row>
      <xdr:rowOff>57150</xdr:rowOff>
    </xdr:from>
    <xdr:to>
      <xdr:col>7</xdr:col>
      <xdr:colOff>123825</xdr:colOff>
      <xdr:row>119</xdr:row>
      <xdr:rowOff>200025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181725" y="22793325"/>
          <a:ext cx="657225" cy="3333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304</xdr:row>
      <xdr:rowOff>180973</xdr:rowOff>
    </xdr:from>
    <xdr:to>
      <xdr:col>23</xdr:col>
      <xdr:colOff>590550</xdr:colOff>
      <xdr:row>374</xdr:row>
      <xdr:rowOff>190499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11753850" y="58597798"/>
          <a:ext cx="5305425" cy="134302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DETAILS</a:t>
          </a:r>
          <a:r>
            <a:rPr lang="en-IN" sz="1800" baseline="0"/>
            <a:t> OF HOW CASH BALANCE IS UNDISTURBED....</a:t>
          </a:r>
        </a:p>
        <a:p>
          <a:pPr algn="l"/>
          <a:endParaRPr lang="en-IN" sz="1800" baseline="0"/>
        </a:p>
        <a:p>
          <a:pPr algn="l"/>
          <a:r>
            <a:rPr lang="en-IN" sz="1800" baseline="0"/>
            <a:t>1) COLLECTION FRACTION GIVES US OUR NET CASH RECEIPTS FOR ANY MONTH SIMILARLY PURCHASE FRACTIONS GIVES THE CASH DISBURSEMENT FOR ANY MONTH....</a:t>
          </a:r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r>
            <a:rPr lang="en-IN" sz="1800" baseline="0"/>
            <a:t>2) DEDUCTING BOTH OF THESE WE GET AN IDEA AS TO WHETHER BORROWING OR LENDING IS REQUIRED...</a:t>
          </a:r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r>
            <a:rPr lang="en-IN" sz="1800" baseline="0"/>
            <a:t>3)  SO ADD UP AND SUBTRACT ALL AMOUNT BORROWED AND LENT OUT TO GET NET AMOUNT WITHIN HAND</a:t>
          </a:r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r>
            <a:rPr lang="en-IN" sz="1800" baseline="0"/>
            <a:t>4)  NOW CALCULATE THE INTEREST RECEIVED AND LIABLE TO BE PAID BASED ON THE AMT LENT OUT OR BORROWED.</a:t>
          </a:r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r>
            <a:rPr lang="en-IN" sz="1800" baseline="0"/>
            <a:t>5)  NOW CALCULATE THE NET AMOUNT REMAINING AFTER DEDUCTING THE CASH DISBURSEMENTS FROM THE NET AMOUNT WITHIN HAND......</a:t>
          </a:r>
        </a:p>
        <a:p>
          <a:pPr algn="l"/>
          <a:endParaRPr lang="en-IN" sz="1800" baseline="0"/>
        </a:p>
        <a:p>
          <a:pPr algn="l"/>
          <a:r>
            <a:rPr lang="en-IN" sz="1800" baseline="0"/>
            <a:t>    THIS SHOULD EQUAL THE INTEREST TO BE PAID IF AT ALL THERE ARE ANY....</a:t>
          </a:r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endParaRPr lang="en-IN" sz="1800" baseline="0"/>
        </a:p>
        <a:p>
          <a:pPr algn="l"/>
          <a:r>
            <a:rPr lang="en-IN" sz="1800" baseline="0"/>
            <a:t>6)  WE COULD ALSO SPLIT UP THE NET INTEREST RECEIVED OR PAID INTO THE INTEREST RECEIVED FROM EACH PRINCIPAL THAT WE HAVE LENT OUT OR BORROWED....</a:t>
          </a:r>
          <a:endParaRPr lang="en-IN" sz="1800"/>
        </a:p>
      </xdr:txBody>
    </xdr:sp>
    <xdr:clientData/>
  </xdr:twoCellAnchor>
  <xdr:twoCellAnchor>
    <xdr:from>
      <xdr:col>18</xdr:col>
      <xdr:colOff>552450</xdr:colOff>
      <xdr:row>312</xdr:row>
      <xdr:rowOff>66675</xdr:rowOff>
    </xdr:from>
    <xdr:to>
      <xdr:col>19</xdr:col>
      <xdr:colOff>342900</xdr:colOff>
      <xdr:row>317</xdr:row>
      <xdr:rowOff>9525</xdr:rowOff>
    </xdr:to>
    <xdr:sp macro="" textlink="">
      <xdr:nvSpPr>
        <xdr:cNvPr id="57" name="Down Arrow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/>
      </xdr:nvSpPr>
      <xdr:spPr>
        <a:xfrm>
          <a:off x="13973175" y="60026550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590550</xdr:colOff>
      <xdr:row>324</xdr:row>
      <xdr:rowOff>152400</xdr:rowOff>
    </xdr:from>
    <xdr:to>
      <xdr:col>19</xdr:col>
      <xdr:colOff>381000</xdr:colOff>
      <xdr:row>329</xdr:row>
      <xdr:rowOff>95250</xdr:rowOff>
    </xdr:to>
    <xdr:sp macro="" textlink="">
      <xdr:nvSpPr>
        <xdr:cNvPr id="58" name="Down Arrow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/>
      </xdr:nvSpPr>
      <xdr:spPr>
        <a:xfrm>
          <a:off x="14011275" y="62398275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571500</xdr:colOff>
      <xdr:row>336</xdr:row>
      <xdr:rowOff>66675</xdr:rowOff>
    </xdr:from>
    <xdr:to>
      <xdr:col>19</xdr:col>
      <xdr:colOff>361950</xdr:colOff>
      <xdr:row>341</xdr:row>
      <xdr:rowOff>9525</xdr:rowOff>
    </xdr:to>
    <xdr:sp macro="" textlink="">
      <xdr:nvSpPr>
        <xdr:cNvPr id="59" name="Down Arrow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/>
      </xdr:nvSpPr>
      <xdr:spPr>
        <a:xfrm>
          <a:off x="13992225" y="64598550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571500</xdr:colOff>
      <xdr:row>347</xdr:row>
      <xdr:rowOff>114300</xdr:rowOff>
    </xdr:from>
    <xdr:to>
      <xdr:col>19</xdr:col>
      <xdr:colOff>361950</xdr:colOff>
      <xdr:row>352</xdr:row>
      <xdr:rowOff>57150</xdr:rowOff>
    </xdr:to>
    <xdr:sp macro="" textlink="">
      <xdr:nvSpPr>
        <xdr:cNvPr id="60" name="Down Arrow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/>
      </xdr:nvSpPr>
      <xdr:spPr>
        <a:xfrm>
          <a:off x="13992225" y="66741675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581025</xdr:colOff>
      <xdr:row>363</xdr:row>
      <xdr:rowOff>152400</xdr:rowOff>
    </xdr:from>
    <xdr:to>
      <xdr:col>19</xdr:col>
      <xdr:colOff>371475</xdr:colOff>
      <xdr:row>368</xdr:row>
      <xdr:rowOff>66675</xdr:rowOff>
    </xdr:to>
    <xdr:sp macro="" textlink="">
      <xdr:nvSpPr>
        <xdr:cNvPr id="61" name="Down Arrow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/>
      </xdr:nvSpPr>
      <xdr:spPr>
        <a:xfrm>
          <a:off x="14001750" y="69837300"/>
          <a:ext cx="400050" cy="8953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showGridLines="0" topLeftCell="A8" workbookViewId="0"/>
  </sheetViews>
  <sheetFormatPr baseColWidth="10" defaultColWidth="8.83203125" defaultRowHeight="15" x14ac:dyDescent="0.2"/>
  <cols>
    <col min="1" max="1" width="2.33203125" customWidth="1"/>
    <col min="2" max="2" width="7.33203125" customWidth="1"/>
    <col min="3" max="3" width="27.1640625" bestFit="1" customWidth="1"/>
    <col min="4" max="4" width="13.6640625" bestFit="1" customWidth="1"/>
    <col min="5" max="5" width="15.5" bestFit="1" customWidth="1"/>
    <col min="6" max="6" width="11.5" customWidth="1"/>
    <col min="7" max="7" width="12" bestFit="1" customWidth="1"/>
  </cols>
  <sheetData>
    <row r="1" spans="1:5" x14ac:dyDescent="0.2">
      <c r="A1" s="6" t="s">
        <v>381</v>
      </c>
    </row>
    <row r="2" spans="1:5" x14ac:dyDescent="0.2">
      <c r="A2" s="6" t="s">
        <v>382</v>
      </c>
    </row>
    <row r="3" spans="1:5" x14ac:dyDescent="0.2">
      <c r="A3" s="6" t="s">
        <v>383</v>
      </c>
    </row>
    <row r="4" spans="1:5" x14ac:dyDescent="0.2">
      <c r="A4" s="6" t="s">
        <v>384</v>
      </c>
    </row>
    <row r="5" spans="1:5" x14ac:dyDescent="0.2">
      <c r="A5" s="6" t="s">
        <v>385</v>
      </c>
    </row>
    <row r="6" spans="1:5" x14ac:dyDescent="0.2">
      <c r="A6" s="6"/>
      <c r="B6" t="s">
        <v>386</v>
      </c>
    </row>
    <row r="7" spans="1:5" x14ac:dyDescent="0.2">
      <c r="A7" s="6"/>
      <c r="B7" t="s">
        <v>387</v>
      </c>
    </row>
    <row r="8" spans="1:5" x14ac:dyDescent="0.2">
      <c r="A8" s="6"/>
      <c r="B8" t="s">
        <v>388</v>
      </c>
    </row>
    <row r="9" spans="1:5" x14ac:dyDescent="0.2">
      <c r="A9" s="6" t="s">
        <v>389</v>
      </c>
    </row>
    <row r="10" spans="1:5" x14ac:dyDescent="0.2">
      <c r="B10" t="s">
        <v>390</v>
      </c>
    </row>
    <row r="11" spans="1:5" x14ac:dyDescent="0.2">
      <c r="B11" t="s">
        <v>391</v>
      </c>
    </row>
    <row r="14" spans="1:5" ht="16" thickBot="1" x14ac:dyDescent="0.25">
      <c r="A14" t="s">
        <v>392</v>
      </c>
    </row>
    <row r="15" spans="1:5" ht="16" thickBot="1" x14ac:dyDescent="0.25">
      <c r="B15" s="8" t="s">
        <v>393</v>
      </c>
      <c r="C15" s="8" t="s">
        <v>394</v>
      </c>
      <c r="D15" s="8" t="s">
        <v>395</v>
      </c>
      <c r="E15" s="8" t="s">
        <v>396</v>
      </c>
    </row>
    <row r="16" spans="1:5" ht="16" thickBot="1" x14ac:dyDescent="0.25">
      <c r="B16" s="7" t="s">
        <v>404</v>
      </c>
      <c r="C16" s="7" t="s">
        <v>405</v>
      </c>
      <c r="D16" s="7">
        <v>0</v>
      </c>
      <c r="E16" s="7">
        <v>24.177369542100365</v>
      </c>
    </row>
    <row r="19" spans="1:6" ht="16" thickBot="1" x14ac:dyDescent="0.25">
      <c r="A19" t="s">
        <v>397</v>
      </c>
    </row>
    <row r="20" spans="1:6" ht="16" thickBot="1" x14ac:dyDescent="0.25">
      <c r="B20" s="8" t="s">
        <v>393</v>
      </c>
      <c r="C20" s="8" t="s">
        <v>394</v>
      </c>
      <c r="D20" s="8" t="s">
        <v>395</v>
      </c>
      <c r="E20" s="8" t="s">
        <v>396</v>
      </c>
      <c r="F20" s="8" t="s">
        <v>398</v>
      </c>
    </row>
    <row r="21" spans="1:6" x14ac:dyDescent="0.2">
      <c r="B21" s="9" t="s">
        <v>406</v>
      </c>
      <c r="C21" s="9" t="s">
        <v>407</v>
      </c>
      <c r="D21" s="9">
        <v>0</v>
      </c>
      <c r="E21" s="9">
        <v>0</v>
      </c>
      <c r="F21" s="9" t="s">
        <v>408</v>
      </c>
    </row>
    <row r="22" spans="1:6" x14ac:dyDescent="0.2">
      <c r="B22" s="9" t="s">
        <v>409</v>
      </c>
      <c r="C22" s="9" t="s">
        <v>410</v>
      </c>
      <c r="D22" s="9">
        <v>0</v>
      </c>
      <c r="E22" s="9">
        <v>0</v>
      </c>
      <c r="F22" s="9" t="s">
        <v>408</v>
      </c>
    </row>
    <row r="23" spans="1:6" x14ac:dyDescent="0.2">
      <c r="B23" s="9" t="s">
        <v>411</v>
      </c>
      <c r="C23" s="9" t="s">
        <v>412</v>
      </c>
      <c r="D23" s="9">
        <v>0</v>
      </c>
      <c r="E23" s="9">
        <v>0</v>
      </c>
      <c r="F23" s="9" t="s">
        <v>408</v>
      </c>
    </row>
    <row r="24" spans="1:6" x14ac:dyDescent="0.2">
      <c r="B24" s="9" t="s">
        <v>413</v>
      </c>
      <c r="C24" s="9" t="s">
        <v>414</v>
      </c>
      <c r="D24" s="9">
        <v>0</v>
      </c>
      <c r="E24" s="9">
        <v>1819.4408768192845</v>
      </c>
      <c r="F24" s="9" t="s">
        <v>408</v>
      </c>
    </row>
    <row r="25" spans="1:6" x14ac:dyDescent="0.2">
      <c r="B25" s="9" t="s">
        <v>415</v>
      </c>
      <c r="C25" s="9" t="s">
        <v>416</v>
      </c>
      <c r="D25" s="9">
        <v>0</v>
      </c>
      <c r="E25" s="9">
        <v>1067.5147097020431</v>
      </c>
      <c r="F25" s="9" t="s">
        <v>408</v>
      </c>
    </row>
    <row r="26" spans="1:6" x14ac:dyDescent="0.2">
      <c r="B26" s="9" t="s">
        <v>417</v>
      </c>
      <c r="C26" s="9" t="s">
        <v>418</v>
      </c>
      <c r="D26" s="9">
        <v>0</v>
      </c>
      <c r="E26" s="9">
        <v>2510</v>
      </c>
      <c r="F26" s="9" t="s">
        <v>408</v>
      </c>
    </row>
    <row r="27" spans="1:6" x14ac:dyDescent="0.2">
      <c r="B27" s="9" t="s">
        <v>419</v>
      </c>
      <c r="C27" s="9" t="s">
        <v>420</v>
      </c>
      <c r="D27" s="9">
        <v>0</v>
      </c>
      <c r="E27" s="9">
        <v>1490</v>
      </c>
      <c r="F27" s="9" t="s">
        <v>408</v>
      </c>
    </row>
    <row r="28" spans="1:6" x14ac:dyDescent="0.2">
      <c r="B28" s="9" t="s">
        <v>421</v>
      </c>
      <c r="C28" s="9" t="s">
        <v>422</v>
      </c>
      <c r="D28" s="9">
        <v>0</v>
      </c>
      <c r="E28" s="9">
        <v>0</v>
      </c>
      <c r="F28" s="9" t="s">
        <v>408</v>
      </c>
    </row>
    <row r="29" spans="1:6" x14ac:dyDescent="0.2">
      <c r="B29" s="9" t="s">
        <v>423</v>
      </c>
      <c r="C29" s="9" t="s">
        <v>424</v>
      </c>
      <c r="D29" s="9">
        <v>0</v>
      </c>
      <c r="E29" s="9">
        <v>924.3073037300635</v>
      </c>
      <c r="F29" s="9" t="s">
        <v>408</v>
      </c>
    </row>
    <row r="30" spans="1:6" x14ac:dyDescent="0.2">
      <c r="B30" s="9" t="s">
        <v>425</v>
      </c>
      <c r="C30" s="9" t="s">
        <v>426</v>
      </c>
      <c r="D30" s="9">
        <v>0</v>
      </c>
      <c r="E30" s="9">
        <v>80.559123180715844</v>
      </c>
      <c r="F30" s="9" t="s">
        <v>408</v>
      </c>
    </row>
    <row r="31" spans="1:6" x14ac:dyDescent="0.2">
      <c r="B31" s="9" t="s">
        <v>427</v>
      </c>
      <c r="C31" s="9" t="s">
        <v>428</v>
      </c>
      <c r="D31" s="9">
        <v>0</v>
      </c>
      <c r="E31" s="9">
        <v>0</v>
      </c>
      <c r="F31" s="9" t="s">
        <v>408</v>
      </c>
    </row>
    <row r="32" spans="1:6" x14ac:dyDescent="0.2">
      <c r="B32" s="9" t="s">
        <v>429</v>
      </c>
      <c r="C32" s="9" t="s">
        <v>430</v>
      </c>
      <c r="D32" s="9">
        <v>0</v>
      </c>
      <c r="E32" s="9">
        <v>0</v>
      </c>
      <c r="F32" s="9" t="s">
        <v>408</v>
      </c>
    </row>
    <row r="33" spans="1:7" x14ac:dyDescent="0.2">
      <c r="B33" s="9" t="s">
        <v>431</v>
      </c>
      <c r="C33" s="9" t="s">
        <v>432</v>
      </c>
      <c r="D33" s="9">
        <v>0</v>
      </c>
      <c r="E33" s="9">
        <v>1385.8090040339853</v>
      </c>
      <c r="F33" s="9" t="s">
        <v>408</v>
      </c>
    </row>
    <row r="34" spans="1:7" x14ac:dyDescent="0.2">
      <c r="B34" s="9" t="s">
        <v>433</v>
      </c>
      <c r="C34" s="9" t="s">
        <v>434</v>
      </c>
      <c r="D34" s="9">
        <v>0</v>
      </c>
      <c r="E34" s="9">
        <v>0</v>
      </c>
      <c r="F34" s="9" t="s">
        <v>408</v>
      </c>
    </row>
    <row r="35" spans="1:7" x14ac:dyDescent="0.2">
      <c r="B35" s="9" t="s">
        <v>435</v>
      </c>
      <c r="C35" s="9" t="s">
        <v>436</v>
      </c>
      <c r="D35" s="9">
        <v>0</v>
      </c>
      <c r="E35" s="9">
        <v>0</v>
      </c>
      <c r="F35" s="9" t="s">
        <v>408</v>
      </c>
    </row>
    <row r="36" spans="1:7" x14ac:dyDescent="0.2">
      <c r="B36" s="9" t="s">
        <v>437</v>
      </c>
      <c r="C36" s="9" t="s">
        <v>438</v>
      </c>
      <c r="D36" s="9">
        <v>0</v>
      </c>
      <c r="E36" s="9">
        <v>1533.75</v>
      </c>
      <c r="F36" s="9" t="s">
        <v>408</v>
      </c>
    </row>
    <row r="37" spans="1:7" x14ac:dyDescent="0.2">
      <c r="B37" s="9" t="s">
        <v>439</v>
      </c>
      <c r="C37" s="9" t="s">
        <v>440</v>
      </c>
      <c r="D37" s="9">
        <v>0</v>
      </c>
      <c r="E37" s="9">
        <v>809.09635416666754</v>
      </c>
      <c r="F37" s="9" t="s">
        <v>408</v>
      </c>
    </row>
    <row r="38" spans="1:7" x14ac:dyDescent="0.2">
      <c r="B38" s="9" t="s">
        <v>441</v>
      </c>
      <c r="C38" s="9" t="s">
        <v>442</v>
      </c>
      <c r="D38" s="9">
        <v>0</v>
      </c>
      <c r="E38" s="9">
        <v>0</v>
      </c>
      <c r="F38" s="9" t="s">
        <v>408</v>
      </c>
    </row>
    <row r="39" spans="1:7" x14ac:dyDescent="0.2">
      <c r="B39" s="9" t="s">
        <v>443</v>
      </c>
      <c r="C39" s="9" t="s">
        <v>444</v>
      </c>
      <c r="D39" s="9">
        <v>0</v>
      </c>
      <c r="E39" s="9">
        <v>0</v>
      </c>
      <c r="F39" s="9" t="s">
        <v>408</v>
      </c>
    </row>
    <row r="40" spans="1:7" ht="16" thickBot="1" x14ac:dyDescent="0.25">
      <c r="B40" s="7" t="s">
        <v>445</v>
      </c>
      <c r="C40" s="7" t="s">
        <v>446</v>
      </c>
      <c r="D40" s="7">
        <v>0</v>
      </c>
      <c r="E40" s="7">
        <v>0</v>
      </c>
      <c r="F40" s="7" t="s">
        <v>408</v>
      </c>
    </row>
    <row r="43" spans="1:7" ht="16" thickBot="1" x14ac:dyDescent="0.25">
      <c r="A43" t="s">
        <v>399</v>
      </c>
    </row>
    <row r="44" spans="1:7" ht="16" thickBot="1" x14ac:dyDescent="0.25">
      <c r="B44" s="8" t="s">
        <v>393</v>
      </c>
      <c r="C44" s="8" t="s">
        <v>394</v>
      </c>
      <c r="D44" s="8" t="s">
        <v>400</v>
      </c>
      <c r="E44" s="8" t="s">
        <v>401</v>
      </c>
      <c r="F44" s="8" t="s">
        <v>402</v>
      </c>
      <c r="G44" s="8" t="s">
        <v>403</v>
      </c>
    </row>
    <row r="45" spans="1:7" x14ac:dyDescent="0.2">
      <c r="B45" s="9" t="s">
        <v>447</v>
      </c>
      <c r="C45" s="9" t="s">
        <v>354</v>
      </c>
      <c r="D45" s="9">
        <v>0</v>
      </c>
      <c r="E45" s="9" t="s">
        <v>448</v>
      </c>
      <c r="F45" s="9" t="s">
        <v>449</v>
      </c>
      <c r="G45" s="9">
        <v>1490</v>
      </c>
    </row>
    <row r="46" spans="1:7" x14ac:dyDescent="0.2">
      <c r="B46" s="9" t="s">
        <v>450</v>
      </c>
      <c r="C46" s="9" t="s">
        <v>354</v>
      </c>
      <c r="D46" s="9">
        <v>0</v>
      </c>
      <c r="E46" s="9" t="s">
        <v>451</v>
      </c>
      <c r="F46" s="9" t="s">
        <v>452</v>
      </c>
      <c r="G46" s="9">
        <v>0</v>
      </c>
    </row>
    <row r="47" spans="1:7" x14ac:dyDescent="0.2">
      <c r="B47" s="9" t="s">
        <v>453</v>
      </c>
      <c r="C47" s="9" t="s">
        <v>354</v>
      </c>
      <c r="D47" s="9">
        <v>0</v>
      </c>
      <c r="E47" s="9" t="s">
        <v>454</v>
      </c>
      <c r="F47" s="9" t="s">
        <v>449</v>
      </c>
      <c r="G47" s="9">
        <v>924.3073037300635</v>
      </c>
    </row>
    <row r="48" spans="1:7" x14ac:dyDescent="0.2">
      <c r="B48" s="9" t="s">
        <v>455</v>
      </c>
      <c r="C48" s="9" t="s">
        <v>354</v>
      </c>
      <c r="D48" s="9">
        <v>0</v>
      </c>
      <c r="E48" s="9" t="s">
        <v>456</v>
      </c>
      <c r="F48" s="9" t="s">
        <v>449</v>
      </c>
      <c r="G48" s="9">
        <v>1900.0000000000005</v>
      </c>
    </row>
    <row r="49" spans="2:7" x14ac:dyDescent="0.2">
      <c r="B49" s="9" t="s">
        <v>457</v>
      </c>
      <c r="C49" s="9" t="s">
        <v>354</v>
      </c>
      <c r="D49" s="9">
        <v>0</v>
      </c>
      <c r="E49" s="9" t="s">
        <v>458</v>
      </c>
      <c r="F49" s="9" t="s">
        <v>449</v>
      </c>
      <c r="G49" s="9">
        <v>1067.5147097020431</v>
      </c>
    </row>
    <row r="50" spans="2:7" x14ac:dyDescent="0.2">
      <c r="B50" s="9" t="s">
        <v>459</v>
      </c>
      <c r="C50" s="9" t="s">
        <v>354</v>
      </c>
      <c r="D50" s="9">
        <v>0</v>
      </c>
      <c r="E50" s="9" t="s">
        <v>460</v>
      </c>
      <c r="F50" s="9" t="s">
        <v>449</v>
      </c>
      <c r="G50" s="9">
        <v>2510</v>
      </c>
    </row>
    <row r="51" spans="2:7" x14ac:dyDescent="0.2">
      <c r="B51" s="9" t="s">
        <v>461</v>
      </c>
      <c r="C51" s="9" t="s">
        <v>354</v>
      </c>
      <c r="D51" s="9">
        <v>250</v>
      </c>
      <c r="E51" s="9" t="s">
        <v>462</v>
      </c>
      <c r="F51" s="9" t="s">
        <v>452</v>
      </c>
      <c r="G51" s="9">
        <v>0</v>
      </c>
    </row>
    <row r="52" spans="2:7" x14ac:dyDescent="0.2">
      <c r="B52" s="9" t="s">
        <v>463</v>
      </c>
      <c r="C52" s="9" t="s">
        <v>354</v>
      </c>
      <c r="D52" s="9">
        <v>250</v>
      </c>
      <c r="E52" s="9" t="s">
        <v>464</v>
      </c>
      <c r="F52" s="9" t="s">
        <v>452</v>
      </c>
      <c r="G52" s="9">
        <v>0</v>
      </c>
    </row>
    <row r="53" spans="2:7" x14ac:dyDescent="0.2">
      <c r="B53" s="9" t="s">
        <v>465</v>
      </c>
      <c r="C53" s="9" t="s">
        <v>354</v>
      </c>
      <c r="D53" s="9">
        <v>250</v>
      </c>
      <c r="E53" s="9" t="s">
        <v>466</v>
      </c>
      <c r="F53" s="9" t="s">
        <v>452</v>
      </c>
      <c r="G53" s="9">
        <v>0</v>
      </c>
    </row>
    <row r="54" spans="2:7" x14ac:dyDescent="0.2">
      <c r="B54" s="9" t="s">
        <v>467</v>
      </c>
      <c r="C54" s="9" t="s">
        <v>354</v>
      </c>
      <c r="D54" s="9">
        <v>250</v>
      </c>
      <c r="E54" s="9" t="s">
        <v>468</v>
      </c>
      <c r="F54" s="9" t="s">
        <v>452</v>
      </c>
      <c r="G54" s="9">
        <v>0</v>
      </c>
    </row>
    <row r="55" spans="2:7" x14ac:dyDescent="0.2">
      <c r="B55" s="9" t="s">
        <v>469</v>
      </c>
      <c r="C55" s="9" t="s">
        <v>354</v>
      </c>
      <c r="D55" s="9">
        <v>250</v>
      </c>
      <c r="E55" s="9" t="s">
        <v>470</v>
      </c>
      <c r="F55" s="9" t="s">
        <v>452</v>
      </c>
      <c r="G55" s="9">
        <v>0</v>
      </c>
    </row>
    <row r="56" spans="2:7" x14ac:dyDescent="0.2">
      <c r="B56" s="9" t="s">
        <v>471</v>
      </c>
      <c r="C56" s="9" t="s">
        <v>354</v>
      </c>
      <c r="D56" s="9">
        <v>250</v>
      </c>
      <c r="E56" s="9" t="s">
        <v>472</v>
      </c>
      <c r="F56" s="9" t="s">
        <v>452</v>
      </c>
      <c r="G56" s="9">
        <v>0</v>
      </c>
    </row>
    <row r="57" spans="2:7" x14ac:dyDescent="0.2">
      <c r="B57" s="9" t="s">
        <v>473</v>
      </c>
      <c r="C57" s="9" t="s">
        <v>474</v>
      </c>
      <c r="D57" s="9">
        <v>1490</v>
      </c>
      <c r="E57" s="9" t="s">
        <v>475</v>
      </c>
      <c r="F57" s="9" t="s">
        <v>452</v>
      </c>
      <c r="G57" s="9">
        <v>0</v>
      </c>
    </row>
    <row r="58" spans="2:7" x14ac:dyDescent="0.2">
      <c r="B58" s="9" t="s">
        <v>476</v>
      </c>
      <c r="C58" s="9" t="s">
        <v>474</v>
      </c>
      <c r="D58" s="9">
        <v>0</v>
      </c>
      <c r="E58" s="9" t="s">
        <v>477</v>
      </c>
      <c r="F58" s="9" t="s">
        <v>449</v>
      </c>
      <c r="G58" s="9">
        <v>800</v>
      </c>
    </row>
    <row r="59" spans="2:7" x14ac:dyDescent="0.2">
      <c r="B59" s="9" t="s">
        <v>478</v>
      </c>
      <c r="C59" s="9" t="s">
        <v>474</v>
      </c>
      <c r="D59" s="9">
        <v>924.3073037300635</v>
      </c>
      <c r="E59" s="9" t="s">
        <v>479</v>
      </c>
      <c r="F59" s="9" t="s">
        <v>449</v>
      </c>
      <c r="G59" s="9">
        <v>815.6926962699365</v>
      </c>
    </row>
    <row r="60" spans="2:7" x14ac:dyDescent="0.2">
      <c r="B60" s="9" t="s">
        <v>480</v>
      </c>
      <c r="C60" s="9" t="s">
        <v>474</v>
      </c>
      <c r="D60" s="9">
        <v>1900.0000000000005</v>
      </c>
      <c r="E60" s="9" t="s">
        <v>481</v>
      </c>
      <c r="F60" s="9" t="s">
        <v>452</v>
      </c>
      <c r="G60" s="9">
        <v>0</v>
      </c>
    </row>
    <row r="61" spans="2:7" x14ac:dyDescent="0.2">
      <c r="B61" s="9" t="s">
        <v>482</v>
      </c>
      <c r="C61" s="9" t="s">
        <v>474</v>
      </c>
      <c r="D61" s="9">
        <v>1067.5147097020431</v>
      </c>
      <c r="E61" s="9" t="s">
        <v>483</v>
      </c>
      <c r="F61" s="9" t="s">
        <v>449</v>
      </c>
      <c r="G61" s="9">
        <v>1032.4852902979569</v>
      </c>
    </row>
    <row r="62" spans="2:7" ht="16" thickBot="1" x14ac:dyDescent="0.25">
      <c r="B62" s="7" t="s">
        <v>484</v>
      </c>
      <c r="C62" s="7" t="s">
        <v>474</v>
      </c>
      <c r="D62" s="7">
        <v>2510</v>
      </c>
      <c r="E62" s="7" t="s">
        <v>485</v>
      </c>
      <c r="F62" s="7" t="s">
        <v>452</v>
      </c>
      <c r="G62" s="7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33203125" bestFit="1" customWidth="1"/>
    <col min="3" max="3" width="27.1640625" bestFit="1" customWidth="1"/>
    <col min="4" max="4" width="12" bestFit="1" customWidth="1"/>
    <col min="5" max="6" width="12.6640625" bestFit="1" customWidth="1"/>
    <col min="7" max="8" width="12" bestFit="1" customWidth="1"/>
  </cols>
  <sheetData>
    <row r="1" spans="1:8" x14ac:dyDescent="0.2">
      <c r="A1" s="6" t="s">
        <v>486</v>
      </c>
    </row>
    <row r="2" spans="1:8" x14ac:dyDescent="0.2">
      <c r="A2" s="6" t="s">
        <v>382</v>
      </c>
    </row>
    <row r="3" spans="1:8" x14ac:dyDescent="0.2">
      <c r="A3" s="6" t="s">
        <v>487</v>
      </c>
    </row>
    <row r="6" spans="1:8" ht="16" thickBot="1" x14ac:dyDescent="0.25">
      <c r="A6" t="s">
        <v>397</v>
      </c>
    </row>
    <row r="7" spans="1:8" x14ac:dyDescent="0.2">
      <c r="B7" s="10"/>
      <c r="C7" s="10"/>
      <c r="D7" s="10" t="s">
        <v>488</v>
      </c>
      <c r="E7" s="10" t="s">
        <v>490</v>
      </c>
      <c r="F7" s="10" t="s">
        <v>492</v>
      </c>
      <c r="G7" s="10" t="s">
        <v>494</v>
      </c>
      <c r="H7" s="10" t="s">
        <v>494</v>
      </c>
    </row>
    <row r="8" spans="1:8" ht="16" thickBot="1" x14ac:dyDescent="0.25">
      <c r="B8" s="11" t="s">
        <v>393</v>
      </c>
      <c r="C8" s="11" t="s">
        <v>394</v>
      </c>
      <c r="D8" s="11" t="s">
        <v>489</v>
      </c>
      <c r="E8" s="11" t="s">
        <v>491</v>
      </c>
      <c r="F8" s="11" t="s">
        <v>493</v>
      </c>
      <c r="G8" s="11" t="s">
        <v>495</v>
      </c>
      <c r="H8" s="11" t="s">
        <v>496</v>
      </c>
    </row>
    <row r="9" spans="1:8" x14ac:dyDescent="0.2">
      <c r="B9" s="9" t="s">
        <v>406</v>
      </c>
      <c r="C9" s="9" t="s">
        <v>407</v>
      </c>
      <c r="D9" s="9">
        <v>0</v>
      </c>
      <c r="E9" s="9">
        <v>-1.5692593650437126E-5</v>
      </c>
      <c r="F9" s="9">
        <v>6.6666666666666671E-3</v>
      </c>
      <c r="G9" s="9">
        <v>1.5692593650437126E-5</v>
      </c>
      <c r="H9" s="9">
        <v>1E+30</v>
      </c>
    </row>
    <row r="10" spans="1:8" x14ac:dyDescent="0.2">
      <c r="B10" s="9" t="s">
        <v>409</v>
      </c>
      <c r="C10" s="9" t="s">
        <v>410</v>
      </c>
      <c r="D10" s="9">
        <v>0</v>
      </c>
      <c r="E10" s="9">
        <v>-9.8725636677285912E-6</v>
      </c>
      <c r="F10" s="9">
        <v>7.5000000000000006E-3</v>
      </c>
      <c r="G10" s="9">
        <v>9.8725636677285912E-6</v>
      </c>
      <c r="H10" s="9">
        <v>1E+30</v>
      </c>
    </row>
    <row r="11" spans="1:8" x14ac:dyDescent="0.2">
      <c r="B11" s="9" t="s">
        <v>411</v>
      </c>
      <c r="C11" s="9" t="s">
        <v>412</v>
      </c>
      <c r="D11" s="9">
        <v>0</v>
      </c>
      <c r="E11" s="9">
        <v>-1.2556880892354552E-3</v>
      </c>
      <c r="F11" s="9">
        <v>8.3333333333333315E-3</v>
      </c>
      <c r="G11" s="9">
        <v>1.2556880892354552E-3</v>
      </c>
      <c r="H11" s="9">
        <v>1E+30</v>
      </c>
    </row>
    <row r="12" spans="1:8" x14ac:dyDescent="0.2">
      <c r="B12" s="9" t="s">
        <v>413</v>
      </c>
      <c r="C12" s="9" t="s">
        <v>414</v>
      </c>
      <c r="D12" s="9">
        <v>1819.4408768192845</v>
      </c>
      <c r="E12" s="9">
        <v>0</v>
      </c>
      <c r="F12" s="9">
        <v>7.9166666666666691E-3</v>
      </c>
      <c r="G12" s="9">
        <v>2.9999999654020408</v>
      </c>
      <c r="H12" s="9">
        <v>2.8824533763173083E-2</v>
      </c>
    </row>
    <row r="13" spans="1:8" x14ac:dyDescent="0.2">
      <c r="B13" s="9" t="s">
        <v>415</v>
      </c>
      <c r="C13" s="9" t="s">
        <v>416</v>
      </c>
      <c r="D13" s="9">
        <v>1067.5147097020431</v>
      </c>
      <c r="E13" s="9">
        <v>0</v>
      </c>
      <c r="F13" s="9">
        <v>7.4999999999999997E-3</v>
      </c>
      <c r="G13" s="9">
        <v>1.5712101242079195E-5</v>
      </c>
      <c r="H13" s="9">
        <v>9.8725638608617882E-6</v>
      </c>
    </row>
    <row r="14" spans="1:8" x14ac:dyDescent="0.2">
      <c r="B14" s="9" t="s">
        <v>417</v>
      </c>
      <c r="C14" s="9" t="s">
        <v>418</v>
      </c>
      <c r="D14" s="9">
        <v>2510</v>
      </c>
      <c r="E14" s="9">
        <v>0</v>
      </c>
      <c r="F14" s="9">
        <v>0</v>
      </c>
      <c r="G14" s="9">
        <v>1E+30</v>
      </c>
      <c r="H14" s="9">
        <v>9.5167393957149588E-3</v>
      </c>
    </row>
    <row r="15" spans="1:8" x14ac:dyDescent="0.2">
      <c r="B15" s="9" t="s">
        <v>419</v>
      </c>
      <c r="C15" s="9" t="s">
        <v>420</v>
      </c>
      <c r="D15" s="9">
        <v>1490</v>
      </c>
      <c r="E15" s="9">
        <v>0</v>
      </c>
      <c r="F15" s="9">
        <v>2.375E-2</v>
      </c>
      <c r="G15" s="9">
        <v>1E+30</v>
      </c>
      <c r="H15" s="9">
        <v>1.5692593650437126E-5</v>
      </c>
    </row>
    <row r="16" spans="1:8" x14ac:dyDescent="0.2">
      <c r="B16" s="9" t="s">
        <v>421</v>
      </c>
      <c r="C16" s="9" t="s">
        <v>422</v>
      </c>
      <c r="D16" s="9">
        <v>0</v>
      </c>
      <c r="E16" s="9">
        <v>-1.2569332374385098E-3</v>
      </c>
      <c r="F16" s="9">
        <v>2.2499999999999999E-2</v>
      </c>
      <c r="G16" s="9">
        <v>1.2569332374385098E-3</v>
      </c>
      <c r="H16" s="9">
        <v>1E+30</v>
      </c>
    </row>
    <row r="17" spans="1:8" x14ac:dyDescent="0.2">
      <c r="B17" s="9" t="s">
        <v>423</v>
      </c>
      <c r="C17" s="9" t="s">
        <v>424</v>
      </c>
      <c r="D17" s="9">
        <v>924.3073037300635</v>
      </c>
      <c r="E17" s="9">
        <v>0</v>
      </c>
      <c r="F17" s="9">
        <v>2.3750000000000007E-2</v>
      </c>
      <c r="G17" s="9">
        <v>9.8766465650856205E-6</v>
      </c>
      <c r="H17" s="9">
        <v>1.5718599828958588E-5</v>
      </c>
    </row>
    <row r="18" spans="1:8" x14ac:dyDescent="0.2">
      <c r="B18" s="9" t="s">
        <v>425</v>
      </c>
      <c r="C18" s="9" t="s">
        <v>426</v>
      </c>
      <c r="D18" s="9">
        <v>80.559123180715844</v>
      </c>
      <c r="E18" s="9">
        <v>0</v>
      </c>
      <c r="F18" s="9">
        <v>1.4999999999999999E-2</v>
      </c>
      <c r="G18" s="9">
        <v>2.8824533763173083E-2</v>
      </c>
      <c r="H18" s="9">
        <v>1.5463617498118558E-2</v>
      </c>
    </row>
    <row r="19" spans="1:8" x14ac:dyDescent="0.2">
      <c r="B19" s="9" t="s">
        <v>427</v>
      </c>
      <c r="C19" s="9" t="s">
        <v>428</v>
      </c>
      <c r="D19" s="9">
        <v>0</v>
      </c>
      <c r="E19" s="9">
        <v>-8.788493318650616E-3</v>
      </c>
      <c r="F19" s="9">
        <v>-7.5000000000000067E-3</v>
      </c>
      <c r="G19" s="9">
        <v>8.788493318650616E-3</v>
      </c>
      <c r="H19" s="9">
        <v>1E+30</v>
      </c>
    </row>
    <row r="20" spans="1:8" x14ac:dyDescent="0.2">
      <c r="B20" s="9" t="s">
        <v>429</v>
      </c>
      <c r="C20" s="9" t="s">
        <v>430</v>
      </c>
      <c r="D20" s="9">
        <v>0</v>
      </c>
      <c r="E20" s="9">
        <v>-8.3527528083720865E-4</v>
      </c>
      <c r="F20" s="9">
        <v>-8.3333333333333315E-3</v>
      </c>
      <c r="G20" s="9">
        <v>8.3527528083720865E-4</v>
      </c>
      <c r="H20" s="9">
        <v>1E+30</v>
      </c>
    </row>
    <row r="21" spans="1:8" x14ac:dyDescent="0.2">
      <c r="B21" s="9" t="s">
        <v>431</v>
      </c>
      <c r="C21" s="9" t="s">
        <v>432</v>
      </c>
      <c r="D21" s="9">
        <v>1385.8090040339853</v>
      </c>
      <c r="E21" s="9">
        <v>0</v>
      </c>
      <c r="F21" s="9">
        <v>-9.5833333333333326E-3</v>
      </c>
      <c r="G21" s="9">
        <v>1.2562058817578692E-3</v>
      </c>
      <c r="H21" s="9">
        <v>1.5718755636925547E-5</v>
      </c>
    </row>
    <row r="22" spans="1:8" x14ac:dyDescent="0.2">
      <c r="B22" s="9" t="s">
        <v>433</v>
      </c>
      <c r="C22" s="9" t="s">
        <v>434</v>
      </c>
      <c r="D22" s="9">
        <v>0</v>
      </c>
      <c r="E22" s="9">
        <v>-2.5089392833856344E-3</v>
      </c>
      <c r="F22" s="9">
        <v>-9.1666666666666841E-3</v>
      </c>
      <c r="G22" s="9">
        <v>2.5089392833856344E-3</v>
      </c>
      <c r="H22" s="9">
        <v>1E+30</v>
      </c>
    </row>
    <row r="23" spans="1:8" x14ac:dyDescent="0.2">
      <c r="B23" s="9" t="s">
        <v>435</v>
      </c>
      <c r="C23" s="9" t="s">
        <v>436</v>
      </c>
      <c r="D23" s="9">
        <v>0</v>
      </c>
      <c r="E23" s="9">
        <v>-4.1270135858539902E-4</v>
      </c>
      <c r="F23" s="9">
        <v>-7.9166666666666691E-3</v>
      </c>
      <c r="G23" s="9">
        <v>4.1270135858539902E-4</v>
      </c>
      <c r="H23" s="9">
        <v>1E+30</v>
      </c>
    </row>
    <row r="24" spans="1:8" x14ac:dyDescent="0.2">
      <c r="B24" s="9" t="s">
        <v>437</v>
      </c>
      <c r="C24" s="9" t="s">
        <v>438</v>
      </c>
      <c r="D24" s="9">
        <v>1533.75</v>
      </c>
      <c r="E24" s="9">
        <v>0</v>
      </c>
      <c r="F24" s="9">
        <v>-1.583333333333331E-2</v>
      </c>
      <c r="G24" s="9">
        <v>1E+30</v>
      </c>
      <c r="H24" s="9">
        <v>7.9526912318246996E-3</v>
      </c>
    </row>
    <row r="25" spans="1:8" x14ac:dyDescent="0.2">
      <c r="B25" s="9" t="s">
        <v>439</v>
      </c>
      <c r="C25" s="9" t="s">
        <v>440</v>
      </c>
      <c r="D25" s="9">
        <v>809.09635416666754</v>
      </c>
      <c r="E25" s="9">
        <v>0</v>
      </c>
      <c r="F25" s="9">
        <v>-2.3750000000000007E-2</v>
      </c>
      <c r="G25" s="9">
        <v>9.8725636677285912E-6</v>
      </c>
      <c r="H25" s="9">
        <v>1.5712233942866138E-5</v>
      </c>
    </row>
    <row r="26" spans="1:8" x14ac:dyDescent="0.2">
      <c r="B26" s="9" t="s">
        <v>441</v>
      </c>
      <c r="C26" s="9" t="s">
        <v>442</v>
      </c>
      <c r="D26" s="9">
        <v>0</v>
      </c>
      <c r="E26" s="9">
        <v>-1.3037808310867934E-2</v>
      </c>
      <c r="F26" s="9">
        <v>-3.6666666666666667E-2</v>
      </c>
      <c r="G26" s="9">
        <v>1.3037808310867934E-2</v>
      </c>
      <c r="H26" s="9">
        <v>1E+30</v>
      </c>
    </row>
    <row r="27" spans="1:8" x14ac:dyDescent="0.2">
      <c r="B27" s="9" t="s">
        <v>443</v>
      </c>
      <c r="C27" s="9" t="s">
        <v>444</v>
      </c>
      <c r="D27" s="9">
        <v>0</v>
      </c>
      <c r="E27" s="9">
        <v>-1.3676484113441061E-2</v>
      </c>
      <c r="F27" s="9">
        <v>-1.8333333333333333E-2</v>
      </c>
      <c r="G27" s="9">
        <v>1.3676484113441061E-2</v>
      </c>
      <c r="H27" s="9">
        <v>1E+30</v>
      </c>
    </row>
    <row r="28" spans="1:8" ht="16" thickBot="1" x14ac:dyDescent="0.25">
      <c r="B28" s="7" t="s">
        <v>445</v>
      </c>
      <c r="C28" s="7" t="s">
        <v>446</v>
      </c>
      <c r="D28" s="7">
        <v>0</v>
      </c>
      <c r="E28" s="7">
        <v>-2.1239063349448591E-2</v>
      </c>
      <c r="F28" s="7">
        <v>-4.1666666666666664E-2</v>
      </c>
      <c r="G28" s="7">
        <v>2.1239063349448591E-2</v>
      </c>
      <c r="H28" s="7">
        <v>1E+30</v>
      </c>
    </row>
    <row r="30" spans="1:8" ht="16" thickBot="1" x14ac:dyDescent="0.25">
      <c r="A30" t="s">
        <v>399</v>
      </c>
    </row>
    <row r="31" spans="1:8" x14ac:dyDescent="0.2">
      <c r="B31" s="10"/>
      <c r="C31" s="10"/>
      <c r="D31" s="10" t="s">
        <v>488</v>
      </c>
      <c r="E31" s="10" t="s">
        <v>497</v>
      </c>
      <c r="F31" s="10" t="s">
        <v>499</v>
      </c>
      <c r="G31" s="10" t="s">
        <v>494</v>
      </c>
      <c r="H31" s="10" t="s">
        <v>494</v>
      </c>
    </row>
    <row r="32" spans="1:8" ht="16" thickBot="1" x14ac:dyDescent="0.25">
      <c r="B32" s="11" t="s">
        <v>393</v>
      </c>
      <c r="C32" s="11" t="s">
        <v>394</v>
      </c>
      <c r="D32" s="11" t="s">
        <v>489</v>
      </c>
      <c r="E32" s="11" t="s">
        <v>498</v>
      </c>
      <c r="F32" s="11" t="s">
        <v>500</v>
      </c>
      <c r="G32" s="11" t="s">
        <v>495</v>
      </c>
      <c r="H32" s="11" t="s">
        <v>496</v>
      </c>
    </row>
    <row r="33" spans="2:8" x14ac:dyDescent="0.2">
      <c r="B33" s="9" t="s">
        <v>447</v>
      </c>
      <c r="C33" s="9" t="s">
        <v>354</v>
      </c>
      <c r="D33" s="9">
        <v>0</v>
      </c>
      <c r="E33" s="9">
        <v>0</v>
      </c>
      <c r="F33" s="9">
        <v>0</v>
      </c>
      <c r="G33" s="9">
        <v>1E+30</v>
      </c>
      <c r="H33" s="9">
        <v>1490</v>
      </c>
    </row>
    <row r="34" spans="2:8" x14ac:dyDescent="0.2">
      <c r="B34" s="9" t="s">
        <v>450</v>
      </c>
      <c r="C34" s="9" t="s">
        <v>354</v>
      </c>
      <c r="D34" s="9">
        <v>0</v>
      </c>
      <c r="E34" s="9">
        <v>0</v>
      </c>
      <c r="F34" s="9">
        <v>0</v>
      </c>
      <c r="G34" s="9">
        <v>1E+30</v>
      </c>
      <c r="H34" s="9">
        <v>0</v>
      </c>
    </row>
    <row r="35" spans="2:8" x14ac:dyDescent="0.2">
      <c r="B35" s="9" t="s">
        <v>453</v>
      </c>
      <c r="C35" s="9" t="s">
        <v>354</v>
      </c>
      <c r="D35" s="9">
        <v>0</v>
      </c>
      <c r="E35" s="9">
        <v>0</v>
      </c>
      <c r="F35" s="9">
        <v>0</v>
      </c>
      <c r="G35" s="9">
        <v>1E+30</v>
      </c>
      <c r="H35" s="9">
        <v>924.3073037300635</v>
      </c>
    </row>
    <row r="36" spans="2:8" x14ac:dyDescent="0.2">
      <c r="B36" s="9" t="s">
        <v>455</v>
      </c>
      <c r="C36" s="9" t="s">
        <v>354</v>
      </c>
      <c r="D36" s="9">
        <v>0</v>
      </c>
      <c r="E36" s="9">
        <v>0</v>
      </c>
      <c r="F36" s="9">
        <v>0</v>
      </c>
      <c r="G36" s="9">
        <v>1E+30</v>
      </c>
      <c r="H36" s="9">
        <v>1900.0000000000002</v>
      </c>
    </row>
    <row r="37" spans="2:8" x14ac:dyDescent="0.2">
      <c r="B37" s="9" t="s">
        <v>457</v>
      </c>
      <c r="C37" s="9" t="s">
        <v>354</v>
      </c>
      <c r="D37" s="9">
        <v>0</v>
      </c>
      <c r="E37" s="9">
        <v>0</v>
      </c>
      <c r="F37" s="9">
        <v>0</v>
      </c>
      <c r="G37" s="9">
        <v>1E+30</v>
      </c>
      <c r="H37" s="9">
        <v>1067.5147097020431</v>
      </c>
    </row>
    <row r="38" spans="2:8" x14ac:dyDescent="0.2">
      <c r="B38" s="9" t="s">
        <v>459</v>
      </c>
      <c r="C38" s="9" t="s">
        <v>354</v>
      </c>
      <c r="D38" s="9">
        <v>0</v>
      </c>
      <c r="E38" s="9">
        <v>0</v>
      </c>
      <c r="F38" s="9">
        <v>0</v>
      </c>
      <c r="G38" s="9">
        <v>1E+30</v>
      </c>
      <c r="H38" s="9">
        <v>2510</v>
      </c>
    </row>
    <row r="39" spans="2:8" x14ac:dyDescent="0.2">
      <c r="B39" s="9" t="s">
        <v>461</v>
      </c>
      <c r="C39" s="9" t="s">
        <v>354</v>
      </c>
      <c r="D39" s="9">
        <v>250</v>
      </c>
      <c r="E39" s="9">
        <v>2.0668575375781768E-2</v>
      </c>
      <c r="F39" s="9">
        <v>0</v>
      </c>
      <c r="G39" s="9">
        <v>1533.75</v>
      </c>
      <c r="H39" s="9">
        <v>236.7833941131745</v>
      </c>
    </row>
    <row r="40" spans="2:8" x14ac:dyDescent="0.2">
      <c r="B40" s="9" t="s">
        <v>463</v>
      </c>
      <c r="C40" s="9" t="s">
        <v>354</v>
      </c>
      <c r="D40" s="9">
        <v>250</v>
      </c>
      <c r="E40" s="9">
        <v>2.1793616570155133E-2</v>
      </c>
      <c r="F40" s="9">
        <v>0</v>
      </c>
      <c r="G40" s="9">
        <v>809.09635416666754</v>
      </c>
      <c r="H40" s="9">
        <v>236.52268483861337</v>
      </c>
    </row>
    <row r="41" spans="2:8" x14ac:dyDescent="0.2">
      <c r="B41" s="9" t="s">
        <v>465</v>
      </c>
      <c r="C41" s="9" t="s">
        <v>354</v>
      </c>
      <c r="D41" s="9">
        <v>250</v>
      </c>
      <c r="E41" s="9">
        <v>1.4177413405942925E-2</v>
      </c>
      <c r="F41" s="9">
        <v>0</v>
      </c>
      <c r="G41" s="9">
        <v>2077.3950064487285</v>
      </c>
      <c r="H41" s="9">
        <v>238.29890741751254</v>
      </c>
    </row>
    <row r="42" spans="2:8" x14ac:dyDescent="0.2">
      <c r="B42" s="9" t="s">
        <v>467</v>
      </c>
      <c r="C42" s="9" t="s">
        <v>354</v>
      </c>
      <c r="D42" s="9">
        <v>250</v>
      </c>
      <c r="E42" s="9">
        <v>4.5504713884702546E-3</v>
      </c>
      <c r="F42" s="9">
        <v>0</v>
      </c>
      <c r="G42" s="9">
        <v>2473.6692748103064</v>
      </c>
      <c r="H42" s="9">
        <v>240.58260528025482</v>
      </c>
    </row>
    <row r="43" spans="2:8" x14ac:dyDescent="0.2">
      <c r="B43" s="9" t="s">
        <v>469</v>
      </c>
      <c r="C43" s="9" t="s">
        <v>354</v>
      </c>
      <c r="D43" s="9">
        <v>250</v>
      </c>
      <c r="E43" s="9">
        <v>-2.0881149411832957E-3</v>
      </c>
      <c r="F43" s="9">
        <v>0</v>
      </c>
      <c r="G43" s="9">
        <v>1391.6777068674241</v>
      </c>
      <c r="H43" s="9">
        <v>242.18307564089224</v>
      </c>
    </row>
    <row r="44" spans="2:8" x14ac:dyDescent="0.2">
      <c r="B44" s="9" t="s">
        <v>471</v>
      </c>
      <c r="C44" s="9" t="s">
        <v>354</v>
      </c>
      <c r="D44" s="9">
        <v>250</v>
      </c>
      <c r="E44" s="9">
        <v>-9.5167393957149588E-3</v>
      </c>
      <c r="F44" s="9">
        <v>0</v>
      </c>
      <c r="G44" s="9">
        <v>1402.1152896689998</v>
      </c>
      <c r="H44" s="9">
        <v>243.99944870821108</v>
      </c>
    </row>
    <row r="45" spans="2:8" x14ac:dyDescent="0.2">
      <c r="B45" s="9" t="s">
        <v>473</v>
      </c>
      <c r="C45" s="9" t="s">
        <v>474</v>
      </c>
      <c r="D45" s="9">
        <v>1490</v>
      </c>
      <c r="E45" s="9">
        <v>7.9526912318246996E-3</v>
      </c>
      <c r="F45" s="9">
        <v>1490</v>
      </c>
      <c r="G45" s="9">
        <v>312463.48734588781</v>
      </c>
      <c r="H45" s="9">
        <v>1490</v>
      </c>
    </row>
    <row r="46" spans="2:8" x14ac:dyDescent="0.2">
      <c r="B46" s="9" t="s">
        <v>476</v>
      </c>
      <c r="C46" s="9" t="s">
        <v>474</v>
      </c>
      <c r="D46" s="9">
        <v>0</v>
      </c>
      <c r="E46" s="9">
        <v>0</v>
      </c>
      <c r="F46" s="9">
        <v>800</v>
      </c>
      <c r="G46" s="9">
        <v>1E+30</v>
      </c>
      <c r="H46" s="9">
        <v>800</v>
      </c>
    </row>
    <row r="47" spans="2:8" x14ac:dyDescent="0.2">
      <c r="B47" s="9" t="s">
        <v>478</v>
      </c>
      <c r="C47" s="9" t="s">
        <v>474</v>
      </c>
      <c r="D47" s="9">
        <v>924.3073037300635</v>
      </c>
      <c r="E47" s="9">
        <v>0</v>
      </c>
      <c r="F47" s="9">
        <v>1740</v>
      </c>
      <c r="G47" s="9">
        <v>1E+30</v>
      </c>
      <c r="H47" s="9">
        <v>815.69269626993662</v>
      </c>
    </row>
    <row r="48" spans="2:8" x14ac:dyDescent="0.2">
      <c r="B48" s="9" t="s">
        <v>480</v>
      </c>
      <c r="C48" s="9" t="s">
        <v>474</v>
      </c>
      <c r="D48" s="9">
        <v>1900.0000000000005</v>
      </c>
      <c r="E48" s="9">
        <v>1.0362492204002545E-2</v>
      </c>
      <c r="F48" s="9">
        <v>1900</v>
      </c>
      <c r="G48" s="9">
        <v>2721.147703971933</v>
      </c>
      <c r="H48" s="9">
        <v>120.21581703764627</v>
      </c>
    </row>
    <row r="49" spans="2:8" x14ac:dyDescent="0.2">
      <c r="B49" s="9" t="s">
        <v>482</v>
      </c>
      <c r="C49" s="9" t="s">
        <v>474</v>
      </c>
      <c r="D49" s="9">
        <v>1067.5147097020431</v>
      </c>
      <c r="E49" s="9">
        <v>0</v>
      </c>
      <c r="F49" s="9">
        <v>2100</v>
      </c>
      <c r="G49" s="9">
        <v>1E+30</v>
      </c>
      <c r="H49" s="9">
        <v>1032.4852902979569</v>
      </c>
    </row>
    <row r="50" spans="2:8" ht="16" thickBot="1" x14ac:dyDescent="0.25">
      <c r="B50" s="7" t="s">
        <v>484</v>
      </c>
      <c r="C50" s="7" t="s">
        <v>474</v>
      </c>
      <c r="D50" s="7">
        <v>2510</v>
      </c>
      <c r="E50" s="7">
        <v>9.5167393957149571E-3</v>
      </c>
      <c r="F50" s="7">
        <v>2510</v>
      </c>
      <c r="G50" s="7">
        <v>243.99944870821108</v>
      </c>
      <c r="H50" s="7">
        <v>1402.1152896689996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showGridLines="0" topLeftCell="A8" workbookViewId="0"/>
  </sheetViews>
  <sheetFormatPr baseColWidth="10" defaultColWidth="8.83203125" defaultRowHeight="15" x14ac:dyDescent="0.2"/>
  <cols>
    <col min="1" max="1" width="2.33203125" customWidth="1"/>
    <col min="2" max="2" width="7.1640625" bestFit="1" customWidth="1"/>
    <col min="3" max="3" width="27.1640625" bestFit="1" customWidth="1"/>
    <col min="4" max="4" width="12" bestFit="1" customWidth="1"/>
    <col min="5" max="5" width="2.33203125" customWidth="1"/>
    <col min="6" max="6" width="12.6640625" bestFit="1" customWidth="1"/>
    <col min="7" max="7" width="12" bestFit="1" customWidth="1"/>
    <col min="8" max="8" width="2.33203125" customWidth="1"/>
    <col min="9" max="9" width="12.6640625" bestFit="1" customWidth="1"/>
    <col min="10" max="10" width="12" bestFit="1" customWidth="1"/>
  </cols>
  <sheetData>
    <row r="1" spans="1:10" x14ac:dyDescent="0.2">
      <c r="A1" s="6" t="s">
        <v>501</v>
      </c>
    </row>
    <row r="2" spans="1:10" x14ac:dyDescent="0.2">
      <c r="A2" s="6" t="s">
        <v>382</v>
      </c>
    </row>
    <row r="3" spans="1:10" x14ac:dyDescent="0.2">
      <c r="A3" s="6" t="s">
        <v>487</v>
      </c>
    </row>
    <row r="5" spans="1:10" ht="16" thickBot="1" x14ac:dyDescent="0.25"/>
    <row r="6" spans="1:10" x14ac:dyDescent="0.2">
      <c r="B6" s="10"/>
      <c r="C6" s="10" t="s">
        <v>492</v>
      </c>
      <c r="D6" s="10"/>
    </row>
    <row r="7" spans="1:10" ht="16" thickBot="1" x14ac:dyDescent="0.25">
      <c r="B7" s="11" t="s">
        <v>393</v>
      </c>
      <c r="C7" s="11" t="s">
        <v>394</v>
      </c>
      <c r="D7" s="11" t="s">
        <v>489</v>
      </c>
    </row>
    <row r="8" spans="1:10" ht="16" thickBot="1" x14ac:dyDescent="0.25">
      <c r="B8" s="7" t="s">
        <v>404</v>
      </c>
      <c r="C8" s="7" t="s">
        <v>405</v>
      </c>
      <c r="D8" s="7">
        <v>24.177369542100365</v>
      </c>
    </row>
    <row r="10" spans="1:10" ht="16" thickBot="1" x14ac:dyDescent="0.25"/>
    <row r="11" spans="1:10" x14ac:dyDescent="0.2">
      <c r="B11" s="10"/>
      <c r="C11" s="10" t="s">
        <v>502</v>
      </c>
      <c r="D11" s="10"/>
      <c r="F11" s="10" t="s">
        <v>503</v>
      </c>
      <c r="G11" s="10" t="s">
        <v>492</v>
      </c>
      <c r="I11" s="10" t="s">
        <v>506</v>
      </c>
      <c r="J11" s="10" t="s">
        <v>492</v>
      </c>
    </row>
    <row r="12" spans="1:10" ht="16" thickBot="1" x14ac:dyDescent="0.25">
      <c r="B12" s="11" t="s">
        <v>393</v>
      </c>
      <c r="C12" s="11" t="s">
        <v>394</v>
      </c>
      <c r="D12" s="11" t="s">
        <v>489</v>
      </c>
      <c r="F12" s="11" t="s">
        <v>504</v>
      </c>
      <c r="G12" s="11" t="s">
        <v>505</v>
      </c>
      <c r="I12" s="11" t="s">
        <v>504</v>
      </c>
      <c r="J12" s="11" t="s">
        <v>505</v>
      </c>
    </row>
    <row r="13" spans="1:10" x14ac:dyDescent="0.2">
      <c r="B13" s="9" t="s">
        <v>406</v>
      </c>
      <c r="C13" s="9" t="s">
        <v>407</v>
      </c>
      <c r="D13" s="9">
        <v>0</v>
      </c>
      <c r="F13" s="9">
        <v>0</v>
      </c>
      <c r="G13" s="9">
        <v>24.177369542100365</v>
      </c>
      <c r="I13" s="9">
        <v>0</v>
      </c>
      <c r="J13" s="9">
        <v>24.177369542100365</v>
      </c>
    </row>
    <row r="14" spans="1:10" x14ac:dyDescent="0.2">
      <c r="B14" s="9" t="s">
        <v>409</v>
      </c>
      <c r="C14" s="9" t="s">
        <v>410</v>
      </c>
      <c r="D14" s="9">
        <v>0</v>
      </c>
      <c r="F14" s="9">
        <v>9.0949470177292824E-13</v>
      </c>
      <c r="G14" s="9">
        <v>24.177369542100372</v>
      </c>
      <c r="I14" s="9">
        <v>9.0949470177292824E-13</v>
      </c>
      <c r="J14" s="9">
        <v>24.177369542100372</v>
      </c>
    </row>
    <row r="15" spans="1:10" x14ac:dyDescent="0.2">
      <c r="B15" s="9" t="s">
        <v>411</v>
      </c>
      <c r="C15" s="9" t="s">
        <v>412</v>
      </c>
      <c r="D15" s="9">
        <v>0</v>
      </c>
      <c r="F15" s="9">
        <v>3.1738358497823563E-11</v>
      </c>
      <c r="G15" s="9">
        <v>24.177369542100628</v>
      </c>
      <c r="I15" s="9">
        <v>3.1738358497823563E-11</v>
      </c>
      <c r="J15" s="9">
        <v>24.177369542100628</v>
      </c>
    </row>
    <row r="16" spans="1:10" x14ac:dyDescent="0.2">
      <c r="B16" s="9" t="s">
        <v>413</v>
      </c>
      <c r="C16" s="9" t="s">
        <v>414</v>
      </c>
      <c r="D16" s="9">
        <v>1819.4408768192845</v>
      </c>
      <c r="F16" s="9">
        <v>1819.4408768188769</v>
      </c>
      <c r="G16" s="9">
        <v>24.177369542097139</v>
      </c>
      <c r="I16" s="9">
        <v>1819.4408768188769</v>
      </c>
      <c r="J16" s="9">
        <v>24.177369542097139</v>
      </c>
    </row>
    <row r="17" spans="2:10" x14ac:dyDescent="0.2">
      <c r="B17" s="9" t="s">
        <v>415</v>
      </c>
      <c r="C17" s="9" t="s">
        <v>416</v>
      </c>
      <c r="D17" s="9">
        <v>1067.5147097020431</v>
      </c>
      <c r="F17" s="9">
        <v>1067.5147097020022</v>
      </c>
      <c r="G17" s="9">
        <v>24.177369542100056</v>
      </c>
      <c r="I17" s="9">
        <v>1067.5147097020022</v>
      </c>
      <c r="J17" s="9">
        <v>24.177369542100056</v>
      </c>
    </row>
    <row r="18" spans="2:10" x14ac:dyDescent="0.2">
      <c r="B18" s="9" t="s">
        <v>417</v>
      </c>
      <c r="C18" s="9" t="s">
        <v>418</v>
      </c>
      <c r="D18" s="9">
        <v>2510</v>
      </c>
      <c r="F18" s="9">
        <v>2509.9999999999236</v>
      </c>
      <c r="G18" s="9">
        <v>24.177369542100365</v>
      </c>
      <c r="I18" s="9">
        <v>2509.9999999999236</v>
      </c>
      <c r="J18" s="9">
        <v>24.177369542100365</v>
      </c>
    </row>
    <row r="19" spans="2:10" x14ac:dyDescent="0.2">
      <c r="B19" s="9" t="s">
        <v>419</v>
      </c>
      <c r="C19" s="9" t="s">
        <v>420</v>
      </c>
      <c r="D19" s="9">
        <v>1490</v>
      </c>
      <c r="F19" s="9">
        <v>1489.9999999830834</v>
      </c>
      <c r="G19" s="9">
        <v>24.177369541698596</v>
      </c>
      <c r="I19" s="9">
        <v>1489.9999999830834</v>
      </c>
      <c r="J19" s="9">
        <v>24.177369541698596</v>
      </c>
    </row>
    <row r="20" spans="2:10" x14ac:dyDescent="0.2">
      <c r="B20" s="9" t="s">
        <v>421</v>
      </c>
      <c r="C20" s="9" t="s">
        <v>422</v>
      </c>
      <c r="D20" s="9">
        <v>0</v>
      </c>
      <c r="F20" s="9">
        <v>9.0949470177292824E-13</v>
      </c>
      <c r="G20" s="9">
        <v>24.177369542100386</v>
      </c>
      <c r="I20" s="9">
        <v>9.0949470177292824E-13</v>
      </c>
      <c r="J20" s="9">
        <v>24.177369542100386</v>
      </c>
    </row>
    <row r="21" spans="2:10" x14ac:dyDescent="0.2">
      <c r="B21" s="9" t="s">
        <v>423</v>
      </c>
      <c r="C21" s="9" t="s">
        <v>424</v>
      </c>
      <c r="D21" s="9">
        <v>924.3073037300635</v>
      </c>
      <c r="F21" s="9">
        <v>924.30730370512595</v>
      </c>
      <c r="G21" s="9">
        <v>24.177369541508092</v>
      </c>
      <c r="I21" s="9">
        <v>924.30730370512595</v>
      </c>
      <c r="J21" s="9">
        <v>24.177369541508092</v>
      </c>
    </row>
    <row r="22" spans="2:10" x14ac:dyDescent="0.2">
      <c r="B22" s="9" t="s">
        <v>425</v>
      </c>
      <c r="C22" s="9" t="s">
        <v>426</v>
      </c>
      <c r="D22" s="9">
        <v>80.559123180715844</v>
      </c>
      <c r="F22" s="9">
        <v>80.559123180683855</v>
      </c>
      <c r="G22" s="9">
        <v>24.177369542099886</v>
      </c>
      <c r="I22" s="9">
        <v>80.559123180683855</v>
      </c>
      <c r="J22" s="9">
        <v>24.177369542099886</v>
      </c>
    </row>
    <row r="23" spans="2:10" x14ac:dyDescent="0.2">
      <c r="B23" s="9" t="s">
        <v>427</v>
      </c>
      <c r="C23" s="9" t="s">
        <v>428</v>
      </c>
      <c r="D23" s="9">
        <v>0</v>
      </c>
      <c r="F23" s="9">
        <v>9.0272426974975991E-13</v>
      </c>
      <c r="G23" s="9">
        <v>24.177369542100358</v>
      </c>
      <c r="I23" s="9">
        <v>9.0272426974975991E-13</v>
      </c>
      <c r="J23" s="9">
        <v>24.177369542100358</v>
      </c>
    </row>
    <row r="24" spans="2:10" x14ac:dyDescent="0.2">
      <c r="B24" s="9" t="s">
        <v>429</v>
      </c>
      <c r="C24" s="9" t="s">
        <v>430</v>
      </c>
      <c r="D24" s="9">
        <v>0</v>
      </c>
      <c r="F24" s="9">
        <v>1.0147254937137197E-10</v>
      </c>
      <c r="G24" s="9">
        <v>24.17736954209952</v>
      </c>
      <c r="I24" s="9">
        <v>1.0147254937137197E-10</v>
      </c>
      <c r="J24" s="9">
        <v>24.17736954209952</v>
      </c>
    </row>
    <row r="25" spans="2:10" x14ac:dyDescent="0.2">
      <c r="B25" s="9" t="s">
        <v>431</v>
      </c>
      <c r="C25" s="9" t="s">
        <v>432</v>
      </c>
      <c r="D25" s="9">
        <v>1385.8090040339853</v>
      </c>
      <c r="F25" s="9">
        <v>1385.809004033883</v>
      </c>
      <c r="G25" s="9">
        <v>24.177369542101346</v>
      </c>
      <c r="I25" s="9">
        <v>1385.809004033883</v>
      </c>
      <c r="J25" s="9">
        <v>24.177369542101346</v>
      </c>
    </row>
    <row r="26" spans="2:10" x14ac:dyDescent="0.2">
      <c r="B26" s="9" t="s">
        <v>433</v>
      </c>
      <c r="C26" s="9" t="s">
        <v>434</v>
      </c>
      <c r="D26" s="9">
        <v>0</v>
      </c>
      <c r="F26" s="9">
        <v>3.2002844818634912E-11</v>
      </c>
      <c r="G26" s="9">
        <v>24.177369542100074</v>
      </c>
      <c r="I26" s="9">
        <v>3.2002844818634912E-11</v>
      </c>
      <c r="J26" s="9">
        <v>24.177369542100074</v>
      </c>
    </row>
    <row r="27" spans="2:10" x14ac:dyDescent="0.2">
      <c r="B27" s="9" t="s">
        <v>435</v>
      </c>
      <c r="C27" s="9" t="s">
        <v>436</v>
      </c>
      <c r="D27" s="9">
        <v>0</v>
      </c>
      <c r="F27" s="9">
        <v>4.1040948417503387E-11</v>
      </c>
      <c r="G27" s="9">
        <v>24.177369542100042</v>
      </c>
      <c r="I27" s="9">
        <v>4.1040948417503387E-11</v>
      </c>
      <c r="J27" s="9">
        <v>24.177369542100042</v>
      </c>
    </row>
    <row r="28" spans="2:10" x14ac:dyDescent="0.2">
      <c r="B28" s="9" t="s">
        <v>437</v>
      </c>
      <c r="C28" s="9" t="s">
        <v>438</v>
      </c>
      <c r="D28" s="9">
        <v>1533.75</v>
      </c>
      <c r="F28" s="9">
        <v>1533.7499999960005</v>
      </c>
      <c r="G28" s="9">
        <v>24.177369542163689</v>
      </c>
      <c r="I28" s="9">
        <v>1533.7499999960005</v>
      </c>
      <c r="J28" s="9">
        <v>24.177369542163689</v>
      </c>
    </row>
    <row r="29" spans="2:10" x14ac:dyDescent="0.2">
      <c r="B29" s="9" t="s">
        <v>439</v>
      </c>
      <c r="C29" s="9" t="s">
        <v>440</v>
      </c>
      <c r="D29" s="9">
        <v>809.09635416666754</v>
      </c>
      <c r="F29" s="9">
        <v>809.0963541664272</v>
      </c>
      <c r="G29" s="9">
        <v>24.177369542106067</v>
      </c>
      <c r="I29" s="9">
        <v>809.0963541664272</v>
      </c>
      <c r="J29" s="9">
        <v>24.177369542106067</v>
      </c>
    </row>
    <row r="30" spans="2:10" x14ac:dyDescent="0.2">
      <c r="B30" s="9" t="s">
        <v>441</v>
      </c>
      <c r="C30" s="9" t="s">
        <v>442</v>
      </c>
      <c r="D30" s="9">
        <v>0</v>
      </c>
      <c r="F30" s="9">
        <v>-1.0326474746791532E-10</v>
      </c>
      <c r="G30" s="9">
        <v>24.177369542104149</v>
      </c>
      <c r="I30" s="9">
        <v>-1.0326474746791532E-10</v>
      </c>
      <c r="J30" s="9">
        <v>24.177369542104149</v>
      </c>
    </row>
    <row r="31" spans="2:10" x14ac:dyDescent="0.2">
      <c r="B31" s="9" t="s">
        <v>443</v>
      </c>
      <c r="C31" s="9" t="s">
        <v>444</v>
      </c>
      <c r="D31" s="9">
        <v>0</v>
      </c>
      <c r="F31" s="9">
        <v>3.2002844818634912E-11</v>
      </c>
      <c r="G31" s="9">
        <v>24.177369542099775</v>
      </c>
      <c r="I31" s="9">
        <v>3.2002844818634912E-11</v>
      </c>
      <c r="J31" s="9">
        <v>24.177369542099775</v>
      </c>
    </row>
    <row r="32" spans="2:10" ht="16" thickBot="1" x14ac:dyDescent="0.25">
      <c r="B32" s="7" t="s">
        <v>445</v>
      </c>
      <c r="C32" s="7" t="s">
        <v>446</v>
      </c>
      <c r="D32" s="7">
        <v>0</v>
      </c>
      <c r="F32" s="7">
        <v>0</v>
      </c>
      <c r="G32" s="7">
        <v>24.177369542100365</v>
      </c>
      <c r="I32" s="7">
        <v>0</v>
      </c>
      <c r="J32" s="7">
        <v>24.177369542100365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2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33203125" customWidth="1"/>
    <col min="3" max="3" width="27.1640625" bestFit="1" customWidth="1"/>
    <col min="4" max="4" width="13.6640625" bestFit="1" customWidth="1"/>
    <col min="5" max="5" width="15.5" bestFit="1" customWidth="1"/>
    <col min="6" max="6" width="11.5" customWidth="1"/>
    <col min="7" max="7" width="12" bestFit="1" customWidth="1"/>
  </cols>
  <sheetData>
    <row r="1" spans="1:5" x14ac:dyDescent="0.2">
      <c r="A1" s="6" t="s">
        <v>381</v>
      </c>
    </row>
    <row r="2" spans="1:5" x14ac:dyDescent="0.2">
      <c r="A2" s="6" t="s">
        <v>507</v>
      </c>
    </row>
    <row r="3" spans="1:5" x14ac:dyDescent="0.2">
      <c r="A3" s="6" t="s">
        <v>508</v>
      </c>
    </row>
    <row r="4" spans="1:5" x14ac:dyDescent="0.2">
      <c r="A4" s="6" t="s">
        <v>384</v>
      </c>
    </row>
    <row r="5" spans="1:5" x14ac:dyDescent="0.2">
      <c r="A5" s="6" t="s">
        <v>385</v>
      </c>
    </row>
    <row r="6" spans="1:5" x14ac:dyDescent="0.2">
      <c r="A6" s="6"/>
      <c r="B6" t="s">
        <v>386</v>
      </c>
    </row>
    <row r="7" spans="1:5" x14ac:dyDescent="0.2">
      <c r="A7" s="6"/>
      <c r="B7" t="s">
        <v>509</v>
      </c>
    </row>
    <row r="8" spans="1:5" x14ac:dyDescent="0.2">
      <c r="A8" s="6"/>
      <c r="B8" t="s">
        <v>510</v>
      </c>
    </row>
    <row r="9" spans="1:5" x14ac:dyDescent="0.2">
      <c r="A9" s="6" t="s">
        <v>389</v>
      </c>
    </row>
    <row r="10" spans="1:5" x14ac:dyDescent="0.2">
      <c r="B10" t="s">
        <v>390</v>
      </c>
    </row>
    <row r="11" spans="1:5" x14ac:dyDescent="0.2">
      <c r="B11" t="s">
        <v>391</v>
      </c>
    </row>
    <row r="14" spans="1:5" ht="16" thickBot="1" x14ac:dyDescent="0.25">
      <c r="A14" t="s">
        <v>392</v>
      </c>
    </row>
    <row r="15" spans="1:5" ht="16" thickBot="1" x14ac:dyDescent="0.25">
      <c r="B15" s="12" t="s">
        <v>393</v>
      </c>
      <c r="C15" s="12" t="s">
        <v>394</v>
      </c>
      <c r="D15" s="12" t="s">
        <v>395</v>
      </c>
      <c r="E15" s="12" t="s">
        <v>396</v>
      </c>
    </row>
    <row r="16" spans="1:5" ht="16" thickBot="1" x14ac:dyDescent="0.25">
      <c r="B16" s="7" t="s">
        <v>404</v>
      </c>
      <c r="C16" s="7" t="s">
        <v>405</v>
      </c>
      <c r="D16" s="7">
        <v>-98.639166666666682</v>
      </c>
      <c r="E16" s="7">
        <v>-83.713369776393108</v>
      </c>
    </row>
    <row r="19" spans="1:6" ht="16" thickBot="1" x14ac:dyDescent="0.25">
      <c r="A19" t="s">
        <v>397</v>
      </c>
    </row>
    <row r="20" spans="1:6" ht="16" thickBot="1" x14ac:dyDescent="0.25">
      <c r="B20" s="12" t="s">
        <v>393</v>
      </c>
      <c r="C20" s="12" t="s">
        <v>394</v>
      </c>
      <c r="D20" s="12" t="s">
        <v>395</v>
      </c>
      <c r="E20" s="12" t="s">
        <v>396</v>
      </c>
      <c r="F20" s="12" t="s">
        <v>398</v>
      </c>
    </row>
    <row r="21" spans="1:6" x14ac:dyDescent="0.2">
      <c r="B21" s="9" t="s">
        <v>406</v>
      </c>
      <c r="C21" s="9" t="s">
        <v>407</v>
      </c>
      <c r="D21" s="9">
        <v>298</v>
      </c>
      <c r="E21" s="9">
        <v>0</v>
      </c>
      <c r="F21" s="9" t="s">
        <v>408</v>
      </c>
    </row>
    <row r="22" spans="1:6" x14ac:dyDescent="0.2">
      <c r="B22" s="9" t="s">
        <v>409</v>
      </c>
      <c r="C22" s="9" t="s">
        <v>410</v>
      </c>
      <c r="D22" s="9">
        <v>462</v>
      </c>
      <c r="E22" s="9">
        <v>531.62002258367954</v>
      </c>
      <c r="F22" s="9" t="s">
        <v>408</v>
      </c>
    </row>
    <row r="23" spans="1:6" x14ac:dyDescent="0.2">
      <c r="B23" s="9" t="s">
        <v>411</v>
      </c>
      <c r="C23" s="9" t="s">
        <v>412</v>
      </c>
      <c r="D23" s="9">
        <v>0</v>
      </c>
      <c r="E23" s="9">
        <v>0</v>
      </c>
      <c r="F23" s="9" t="s">
        <v>408</v>
      </c>
    </row>
    <row r="24" spans="1:6" x14ac:dyDescent="0.2">
      <c r="B24" s="9" t="s">
        <v>413</v>
      </c>
      <c r="C24" s="9" t="s">
        <v>414</v>
      </c>
      <c r="D24" s="9">
        <v>458</v>
      </c>
      <c r="E24" s="9">
        <v>710.16538266786438</v>
      </c>
      <c r="F24" s="9" t="s">
        <v>408</v>
      </c>
    </row>
    <row r="25" spans="1:6" x14ac:dyDescent="0.2">
      <c r="B25" s="9" t="s">
        <v>415</v>
      </c>
      <c r="C25" s="9" t="s">
        <v>416</v>
      </c>
      <c r="D25" s="9">
        <v>0</v>
      </c>
      <c r="E25" s="9">
        <v>0</v>
      </c>
      <c r="F25" s="9" t="s">
        <v>408</v>
      </c>
    </row>
    <row r="26" spans="1:6" x14ac:dyDescent="0.2">
      <c r="B26" s="9" t="s">
        <v>417</v>
      </c>
      <c r="C26" s="9" t="s">
        <v>418</v>
      </c>
      <c r="D26" s="9">
        <v>0</v>
      </c>
      <c r="E26" s="9">
        <v>0</v>
      </c>
      <c r="F26" s="9" t="s">
        <v>408</v>
      </c>
    </row>
    <row r="27" spans="1:6" x14ac:dyDescent="0.2">
      <c r="B27" s="9" t="s">
        <v>419</v>
      </c>
      <c r="C27" s="9" t="s">
        <v>420</v>
      </c>
      <c r="D27" s="9">
        <v>778</v>
      </c>
      <c r="E27" s="9">
        <v>1480</v>
      </c>
      <c r="F27" s="9" t="s">
        <v>408</v>
      </c>
    </row>
    <row r="28" spans="1:6" x14ac:dyDescent="0.2">
      <c r="B28" s="9" t="s">
        <v>421</v>
      </c>
      <c r="C28" s="9" t="s">
        <v>422</v>
      </c>
      <c r="D28" s="9">
        <v>0</v>
      </c>
      <c r="E28" s="9">
        <v>0</v>
      </c>
      <c r="F28" s="9" t="s">
        <v>408</v>
      </c>
    </row>
    <row r="29" spans="1:6" x14ac:dyDescent="0.2">
      <c r="B29" s="9" t="s">
        <v>423</v>
      </c>
      <c r="C29" s="9" t="s">
        <v>424</v>
      </c>
      <c r="D29" s="9">
        <v>0</v>
      </c>
      <c r="E29" s="9">
        <v>0</v>
      </c>
      <c r="F29" s="9" t="s">
        <v>408</v>
      </c>
    </row>
    <row r="30" spans="1:6" x14ac:dyDescent="0.2">
      <c r="B30" s="9" t="s">
        <v>425</v>
      </c>
      <c r="C30" s="9" t="s">
        <v>426</v>
      </c>
      <c r="D30" s="9">
        <v>0</v>
      </c>
      <c r="E30" s="9">
        <v>0</v>
      </c>
      <c r="F30" s="9" t="s">
        <v>408</v>
      </c>
    </row>
    <row r="31" spans="1:6" x14ac:dyDescent="0.2">
      <c r="B31" s="9" t="s">
        <v>427</v>
      </c>
      <c r="C31" s="9" t="s">
        <v>428</v>
      </c>
      <c r="D31" s="9">
        <v>0</v>
      </c>
      <c r="E31" s="9">
        <v>0</v>
      </c>
      <c r="F31" s="9" t="s">
        <v>408</v>
      </c>
    </row>
    <row r="32" spans="1:6" x14ac:dyDescent="0.2">
      <c r="B32" s="9" t="s">
        <v>429</v>
      </c>
      <c r="C32" s="9" t="s">
        <v>430</v>
      </c>
      <c r="D32" s="9">
        <v>0</v>
      </c>
      <c r="E32" s="9">
        <v>0</v>
      </c>
      <c r="F32" s="9" t="s">
        <v>408</v>
      </c>
    </row>
    <row r="33" spans="1:7" x14ac:dyDescent="0.2">
      <c r="B33" s="9" t="s">
        <v>431</v>
      </c>
      <c r="C33" s="9" t="s">
        <v>432</v>
      </c>
      <c r="D33" s="9">
        <v>0</v>
      </c>
      <c r="E33" s="9">
        <v>0</v>
      </c>
      <c r="F33" s="9" t="s">
        <v>408</v>
      </c>
    </row>
    <row r="34" spans="1:7" x14ac:dyDescent="0.2">
      <c r="B34" s="9" t="s">
        <v>433</v>
      </c>
      <c r="C34" s="9" t="s">
        <v>434</v>
      </c>
      <c r="D34" s="9">
        <v>0</v>
      </c>
      <c r="E34" s="9">
        <v>0</v>
      </c>
      <c r="F34" s="9" t="s">
        <v>408</v>
      </c>
    </row>
    <row r="35" spans="1:7" x14ac:dyDescent="0.2">
      <c r="B35" s="9" t="s">
        <v>435</v>
      </c>
      <c r="C35" s="9" t="s">
        <v>436</v>
      </c>
      <c r="D35" s="9">
        <v>489</v>
      </c>
      <c r="E35" s="9">
        <v>492.82144493051567</v>
      </c>
      <c r="F35" s="9" t="s">
        <v>408</v>
      </c>
    </row>
    <row r="36" spans="1:7" x14ac:dyDescent="0.2">
      <c r="B36" s="9" t="s">
        <v>437</v>
      </c>
      <c r="C36" s="9" t="s">
        <v>438</v>
      </c>
      <c r="D36" s="9">
        <v>0</v>
      </c>
      <c r="E36" s="9">
        <v>1458.75</v>
      </c>
      <c r="F36" s="9" t="s">
        <v>408</v>
      </c>
    </row>
    <row r="37" spans="1:7" x14ac:dyDescent="0.2">
      <c r="B37" s="9" t="s">
        <v>439</v>
      </c>
      <c r="C37" s="9" t="s">
        <v>440</v>
      </c>
      <c r="D37" s="9">
        <v>975</v>
      </c>
      <c r="E37" s="9">
        <v>1220.2017934170124</v>
      </c>
      <c r="F37" s="9" t="s">
        <v>408</v>
      </c>
    </row>
    <row r="38" spans="1:7" x14ac:dyDescent="0.2">
      <c r="B38" s="9" t="s">
        <v>441</v>
      </c>
      <c r="C38" s="9" t="s">
        <v>442</v>
      </c>
      <c r="D38" s="9">
        <v>0</v>
      </c>
      <c r="E38" s="9">
        <v>0</v>
      </c>
      <c r="F38" s="9" t="s">
        <v>408</v>
      </c>
    </row>
    <row r="39" spans="1:7" x14ac:dyDescent="0.2">
      <c r="B39" s="9" t="s">
        <v>443</v>
      </c>
      <c r="C39" s="9" t="s">
        <v>444</v>
      </c>
      <c r="D39" s="9">
        <v>0</v>
      </c>
      <c r="E39" s="9">
        <v>1090.6086468656733</v>
      </c>
      <c r="F39" s="9" t="s">
        <v>408</v>
      </c>
    </row>
    <row r="40" spans="1:7" ht="16" thickBot="1" x14ac:dyDescent="0.25">
      <c r="B40" s="7" t="s">
        <v>445</v>
      </c>
      <c r="C40" s="7" t="s">
        <v>446</v>
      </c>
      <c r="D40" s="7">
        <v>1120</v>
      </c>
      <c r="E40" s="7">
        <v>0</v>
      </c>
      <c r="F40" s="7" t="s">
        <v>408</v>
      </c>
    </row>
    <row r="43" spans="1:7" ht="16" thickBot="1" x14ac:dyDescent="0.25">
      <c r="A43" t="s">
        <v>399</v>
      </c>
    </row>
    <row r="44" spans="1:7" ht="16" thickBot="1" x14ac:dyDescent="0.25">
      <c r="B44" s="12" t="s">
        <v>393</v>
      </c>
      <c r="C44" s="12" t="s">
        <v>394</v>
      </c>
      <c r="D44" s="12" t="s">
        <v>400</v>
      </c>
      <c r="E44" s="12" t="s">
        <v>401</v>
      </c>
      <c r="F44" s="12" t="s">
        <v>402</v>
      </c>
      <c r="G44" s="12" t="s">
        <v>403</v>
      </c>
    </row>
    <row r="45" spans="1:7" x14ac:dyDescent="0.2">
      <c r="B45" s="9" t="s">
        <v>447</v>
      </c>
      <c r="C45" s="9" t="s">
        <v>354</v>
      </c>
      <c r="D45" s="9">
        <v>0</v>
      </c>
      <c r="E45" s="9" t="s">
        <v>448</v>
      </c>
      <c r="F45" s="9" t="s">
        <v>449</v>
      </c>
      <c r="G45" s="9">
        <v>1480</v>
      </c>
    </row>
    <row r="46" spans="1:7" x14ac:dyDescent="0.2">
      <c r="B46" s="9" t="s">
        <v>450</v>
      </c>
      <c r="C46" s="9" t="s">
        <v>354</v>
      </c>
      <c r="D46" s="9">
        <v>0</v>
      </c>
      <c r="E46" s="9" t="s">
        <v>451</v>
      </c>
      <c r="F46" s="9" t="s">
        <v>449</v>
      </c>
      <c r="G46" s="9">
        <v>531.62002258367954</v>
      </c>
    </row>
    <row r="47" spans="1:7" x14ac:dyDescent="0.2">
      <c r="B47" s="9" t="s">
        <v>453</v>
      </c>
      <c r="C47" s="9" t="s">
        <v>354</v>
      </c>
      <c r="D47" s="9">
        <v>0</v>
      </c>
      <c r="E47" s="9" t="s">
        <v>454</v>
      </c>
      <c r="F47" s="9" t="s">
        <v>452</v>
      </c>
      <c r="G47" s="9">
        <v>0</v>
      </c>
    </row>
    <row r="48" spans="1:7" x14ac:dyDescent="0.2">
      <c r="B48" s="9" t="s">
        <v>455</v>
      </c>
      <c r="C48" s="9" t="s">
        <v>354</v>
      </c>
      <c r="D48" s="9">
        <v>0</v>
      </c>
      <c r="E48" s="9" t="s">
        <v>456</v>
      </c>
      <c r="F48" s="9" t="s">
        <v>449</v>
      </c>
      <c r="G48" s="9">
        <v>710.16538266786438</v>
      </c>
    </row>
    <row r="49" spans="2:7" x14ac:dyDescent="0.2">
      <c r="B49" s="9" t="s">
        <v>457</v>
      </c>
      <c r="C49" s="9" t="s">
        <v>354</v>
      </c>
      <c r="D49" s="9">
        <v>0</v>
      </c>
      <c r="E49" s="9" t="s">
        <v>458</v>
      </c>
      <c r="F49" s="9" t="s">
        <v>452</v>
      </c>
      <c r="G49" s="9">
        <v>0</v>
      </c>
    </row>
    <row r="50" spans="2:7" x14ac:dyDescent="0.2">
      <c r="B50" s="9" t="s">
        <v>459</v>
      </c>
      <c r="C50" s="9" t="s">
        <v>354</v>
      </c>
      <c r="D50" s="9">
        <v>0</v>
      </c>
      <c r="E50" s="9" t="s">
        <v>460</v>
      </c>
      <c r="F50" s="9" t="s">
        <v>452</v>
      </c>
      <c r="G50" s="9">
        <v>0</v>
      </c>
    </row>
    <row r="51" spans="2:7" x14ac:dyDescent="0.2">
      <c r="B51" s="9" t="s">
        <v>461</v>
      </c>
      <c r="C51" s="9" t="s">
        <v>354</v>
      </c>
      <c r="D51" s="9">
        <v>250</v>
      </c>
      <c r="E51" s="9" t="s">
        <v>462</v>
      </c>
      <c r="F51" s="9" t="s">
        <v>452</v>
      </c>
      <c r="G51" s="9">
        <v>0</v>
      </c>
    </row>
    <row r="52" spans="2:7" x14ac:dyDescent="0.2">
      <c r="B52" s="9" t="s">
        <v>463</v>
      </c>
      <c r="C52" s="9" t="s">
        <v>354</v>
      </c>
      <c r="D52" s="9">
        <v>250</v>
      </c>
      <c r="E52" s="9" t="s">
        <v>464</v>
      </c>
      <c r="F52" s="9" t="s">
        <v>452</v>
      </c>
      <c r="G52" s="9">
        <v>0</v>
      </c>
    </row>
    <row r="53" spans="2:7" x14ac:dyDescent="0.2">
      <c r="B53" s="9" t="s">
        <v>465</v>
      </c>
      <c r="C53" s="9" t="s">
        <v>354</v>
      </c>
      <c r="D53" s="9">
        <v>250</v>
      </c>
      <c r="E53" s="9" t="s">
        <v>466</v>
      </c>
      <c r="F53" s="9" t="s">
        <v>452</v>
      </c>
      <c r="G53" s="9">
        <v>0</v>
      </c>
    </row>
    <row r="54" spans="2:7" x14ac:dyDescent="0.2">
      <c r="B54" s="9" t="s">
        <v>467</v>
      </c>
      <c r="C54" s="9" t="s">
        <v>354</v>
      </c>
      <c r="D54" s="9">
        <v>250</v>
      </c>
      <c r="E54" s="9" t="s">
        <v>468</v>
      </c>
      <c r="F54" s="9" t="s">
        <v>452</v>
      </c>
      <c r="G54" s="9">
        <v>0</v>
      </c>
    </row>
    <row r="55" spans="2:7" x14ac:dyDescent="0.2">
      <c r="B55" s="9" t="s">
        <v>469</v>
      </c>
      <c r="C55" s="9" t="s">
        <v>354</v>
      </c>
      <c r="D55" s="9">
        <v>250</v>
      </c>
      <c r="E55" s="9" t="s">
        <v>470</v>
      </c>
      <c r="F55" s="9" t="s">
        <v>452</v>
      </c>
      <c r="G55" s="9">
        <v>0</v>
      </c>
    </row>
    <row r="56" spans="2:7" x14ac:dyDescent="0.2">
      <c r="B56" s="9" t="s">
        <v>471</v>
      </c>
      <c r="C56" s="9" t="s">
        <v>354</v>
      </c>
      <c r="D56" s="9">
        <v>250</v>
      </c>
      <c r="E56" s="9" t="s">
        <v>472</v>
      </c>
      <c r="F56" s="9" t="s">
        <v>452</v>
      </c>
      <c r="G56" s="9">
        <v>0</v>
      </c>
    </row>
    <row r="57" spans="2:7" x14ac:dyDescent="0.2">
      <c r="B57" s="9" t="s">
        <v>473</v>
      </c>
      <c r="C57" s="9" t="s">
        <v>474</v>
      </c>
      <c r="D57" s="9">
        <v>1480</v>
      </c>
      <c r="E57" s="9" t="s">
        <v>475</v>
      </c>
      <c r="F57" s="9" t="s">
        <v>452</v>
      </c>
      <c r="G57" s="9">
        <v>0</v>
      </c>
    </row>
    <row r="58" spans="2:7" x14ac:dyDescent="0.2">
      <c r="B58" s="9" t="s">
        <v>476</v>
      </c>
      <c r="C58" s="9" t="s">
        <v>474</v>
      </c>
      <c r="D58" s="9">
        <v>531.62002258367954</v>
      </c>
      <c r="E58" s="9" t="s">
        <v>477</v>
      </c>
      <c r="F58" s="9" t="s">
        <v>449</v>
      </c>
      <c r="G58" s="9">
        <v>238.37997741632046</v>
      </c>
    </row>
    <row r="59" spans="2:7" x14ac:dyDescent="0.2">
      <c r="B59" s="9" t="s">
        <v>478</v>
      </c>
      <c r="C59" s="9" t="s">
        <v>474</v>
      </c>
      <c r="D59" s="9">
        <v>0</v>
      </c>
      <c r="E59" s="9" t="s">
        <v>479</v>
      </c>
      <c r="F59" s="9" t="s">
        <v>449</v>
      </c>
      <c r="G59" s="9">
        <v>1640</v>
      </c>
    </row>
    <row r="60" spans="2:7" x14ac:dyDescent="0.2">
      <c r="B60" s="9" t="s">
        <v>480</v>
      </c>
      <c r="C60" s="9" t="s">
        <v>474</v>
      </c>
      <c r="D60" s="9">
        <v>710.16538266786438</v>
      </c>
      <c r="E60" s="9" t="s">
        <v>481</v>
      </c>
      <c r="F60" s="9" t="s">
        <v>449</v>
      </c>
      <c r="G60" s="9">
        <v>1019.8346173321356</v>
      </c>
    </row>
    <row r="61" spans="2:7" x14ac:dyDescent="0.2">
      <c r="B61" s="9" t="s">
        <v>482</v>
      </c>
      <c r="C61" s="9" t="s">
        <v>474</v>
      </c>
      <c r="D61" s="9">
        <v>0</v>
      </c>
      <c r="E61" s="9" t="s">
        <v>483</v>
      </c>
      <c r="F61" s="9" t="s">
        <v>449</v>
      </c>
      <c r="G61" s="9">
        <v>2090</v>
      </c>
    </row>
    <row r="62" spans="2:7" ht="16" thickBot="1" x14ac:dyDescent="0.25">
      <c r="B62" s="7" t="s">
        <v>484</v>
      </c>
      <c r="C62" s="7" t="s">
        <v>474</v>
      </c>
      <c r="D62" s="7">
        <v>0</v>
      </c>
      <c r="E62" s="7" t="s">
        <v>485</v>
      </c>
      <c r="F62" s="7" t="s">
        <v>449</v>
      </c>
      <c r="G62" s="7">
        <v>2420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33203125" bestFit="1" customWidth="1"/>
    <col min="3" max="3" width="27.1640625" bestFit="1" customWidth="1"/>
    <col min="4" max="4" width="12" bestFit="1" customWidth="1"/>
    <col min="5" max="6" width="12.6640625" bestFit="1" customWidth="1"/>
    <col min="7" max="8" width="12" bestFit="1" customWidth="1"/>
  </cols>
  <sheetData>
    <row r="1" spans="1:8" x14ac:dyDescent="0.2">
      <c r="A1" s="6" t="s">
        <v>486</v>
      </c>
    </row>
    <row r="2" spans="1:8" x14ac:dyDescent="0.2">
      <c r="A2" s="6" t="s">
        <v>507</v>
      </c>
    </row>
    <row r="3" spans="1:8" x14ac:dyDescent="0.2">
      <c r="A3" s="6" t="s">
        <v>511</v>
      </c>
    </row>
    <row r="6" spans="1:8" ht="16" thickBot="1" x14ac:dyDescent="0.25">
      <c r="A6" t="s">
        <v>397</v>
      </c>
    </row>
    <row r="7" spans="1:8" x14ac:dyDescent="0.2">
      <c r="B7" s="13"/>
      <c r="C7" s="13"/>
      <c r="D7" s="13" t="s">
        <v>488</v>
      </c>
      <c r="E7" s="13" t="s">
        <v>490</v>
      </c>
      <c r="F7" s="13" t="s">
        <v>492</v>
      </c>
      <c r="G7" s="13" t="s">
        <v>494</v>
      </c>
      <c r="H7" s="13" t="s">
        <v>494</v>
      </c>
    </row>
    <row r="8" spans="1:8" ht="16" thickBot="1" x14ac:dyDescent="0.25">
      <c r="B8" s="14" t="s">
        <v>393</v>
      </c>
      <c r="C8" s="14" t="s">
        <v>394</v>
      </c>
      <c r="D8" s="14" t="s">
        <v>489</v>
      </c>
      <c r="E8" s="14" t="s">
        <v>491</v>
      </c>
      <c r="F8" s="14" t="s">
        <v>493</v>
      </c>
      <c r="G8" s="14" t="s">
        <v>495</v>
      </c>
      <c r="H8" s="14" t="s">
        <v>496</v>
      </c>
    </row>
    <row r="9" spans="1:8" x14ac:dyDescent="0.2">
      <c r="B9" s="9" t="s">
        <v>406</v>
      </c>
      <c r="C9" s="9" t="s">
        <v>407</v>
      </c>
      <c r="D9" s="9">
        <v>0</v>
      </c>
      <c r="E9" s="9">
        <v>-1.2797101511707117E-3</v>
      </c>
      <c r="F9" s="9">
        <v>6.6666666666677088E-3</v>
      </c>
      <c r="G9" s="9">
        <v>1.2797101511707117E-3</v>
      </c>
      <c r="H9" s="9">
        <v>1E+30</v>
      </c>
    </row>
    <row r="10" spans="1:8" x14ac:dyDescent="0.2">
      <c r="B10" s="9" t="s">
        <v>409</v>
      </c>
      <c r="C10" s="9" t="s">
        <v>410</v>
      </c>
      <c r="D10" s="9">
        <v>531.62002258367954</v>
      </c>
      <c r="E10" s="9">
        <v>0</v>
      </c>
      <c r="F10" s="9">
        <v>7.5000000000002842E-3</v>
      </c>
      <c r="G10" s="9">
        <v>0</v>
      </c>
      <c r="H10" s="9">
        <v>1.272000979635711E-3</v>
      </c>
    </row>
    <row r="11" spans="1:8" x14ac:dyDescent="0.2">
      <c r="B11" s="9" t="s">
        <v>411</v>
      </c>
      <c r="C11" s="9" t="s">
        <v>412</v>
      </c>
      <c r="D11" s="9">
        <v>0</v>
      </c>
      <c r="E11" s="9">
        <v>0</v>
      </c>
      <c r="F11" s="9">
        <v>8.3333333333328596E-3</v>
      </c>
      <c r="G11" s="9">
        <v>0</v>
      </c>
      <c r="H11" s="9">
        <v>1E+30</v>
      </c>
    </row>
    <row r="12" spans="1:8" x14ac:dyDescent="0.2">
      <c r="B12" s="9" t="s">
        <v>413</v>
      </c>
      <c r="C12" s="9" t="s">
        <v>414</v>
      </c>
      <c r="D12" s="9">
        <v>710.16538266786438</v>
      </c>
      <c r="E12" s="9">
        <v>0</v>
      </c>
      <c r="F12" s="9">
        <v>7.9166666666665719E-3</v>
      </c>
      <c r="G12" s="9">
        <v>0</v>
      </c>
      <c r="H12" s="9">
        <v>1.2711733564864764E-3</v>
      </c>
    </row>
    <row r="13" spans="1:8" x14ac:dyDescent="0.2">
      <c r="B13" s="9" t="s">
        <v>415</v>
      </c>
      <c r="C13" s="9" t="s">
        <v>416</v>
      </c>
      <c r="D13" s="9">
        <v>0</v>
      </c>
      <c r="E13" s="9">
        <v>-4.1729508698676153E-4</v>
      </c>
      <c r="F13" s="9">
        <v>7.5000000000002842E-3</v>
      </c>
      <c r="G13" s="9">
        <v>4.1729508698676153E-4</v>
      </c>
      <c r="H13" s="9">
        <v>1E+30</v>
      </c>
    </row>
    <row r="14" spans="1:8" x14ac:dyDescent="0.2">
      <c r="B14" s="9" t="s">
        <v>417</v>
      </c>
      <c r="C14" s="9" t="s">
        <v>418</v>
      </c>
      <c r="D14" s="9">
        <v>0</v>
      </c>
      <c r="E14" s="9">
        <v>-2.5136812802403676E-3</v>
      </c>
      <c r="F14" s="9">
        <v>0</v>
      </c>
      <c r="G14" s="9">
        <v>2.5136812802403676E-3</v>
      </c>
      <c r="H14" s="9">
        <v>1E+30</v>
      </c>
    </row>
    <row r="15" spans="1:8" x14ac:dyDescent="0.2">
      <c r="B15" s="9" t="s">
        <v>419</v>
      </c>
      <c r="C15" s="9" t="s">
        <v>420</v>
      </c>
      <c r="D15" s="9">
        <v>1480</v>
      </c>
      <c r="E15" s="9">
        <v>0</v>
      </c>
      <c r="F15" s="9">
        <v>2.3749999999999716E-2</v>
      </c>
      <c r="G15" s="9">
        <v>1E+30</v>
      </c>
      <c r="H15" s="9">
        <v>1.2797101511707117E-3</v>
      </c>
    </row>
    <row r="16" spans="1:8" x14ac:dyDescent="0.2">
      <c r="B16" s="9" t="s">
        <v>421</v>
      </c>
      <c r="C16" s="9" t="s">
        <v>422</v>
      </c>
      <c r="D16" s="9">
        <v>0</v>
      </c>
      <c r="E16" s="9">
        <v>-1.2679216766195863E-3</v>
      </c>
      <c r="F16" s="9">
        <v>2.2500000000000853E-2</v>
      </c>
      <c r="G16" s="9">
        <v>1.2679216766195863E-3</v>
      </c>
      <c r="H16" s="9">
        <v>1E+30</v>
      </c>
    </row>
    <row r="17" spans="1:8" x14ac:dyDescent="0.2">
      <c r="B17" s="9" t="s">
        <v>423</v>
      </c>
      <c r="C17" s="9" t="s">
        <v>424</v>
      </c>
      <c r="D17" s="9">
        <v>0</v>
      </c>
      <c r="E17" s="9">
        <v>-4.2339459095515146E-4</v>
      </c>
      <c r="F17" s="9">
        <v>2.3749999999999716E-2</v>
      </c>
      <c r="G17" s="9">
        <v>4.2339459095515146E-4</v>
      </c>
      <c r="H17" s="9">
        <v>1E+30</v>
      </c>
    </row>
    <row r="18" spans="1:8" x14ac:dyDescent="0.2">
      <c r="B18" s="9" t="s">
        <v>425</v>
      </c>
      <c r="C18" s="9" t="s">
        <v>426</v>
      </c>
      <c r="D18" s="9">
        <v>0</v>
      </c>
      <c r="E18" s="9">
        <v>-3.3515750403184316E-3</v>
      </c>
      <c r="F18" s="9">
        <v>1.5000000000000568E-2</v>
      </c>
      <c r="G18" s="9">
        <v>3.3515750403184316E-3</v>
      </c>
      <c r="H18" s="9">
        <v>1E+30</v>
      </c>
    </row>
    <row r="19" spans="1:8" x14ac:dyDescent="0.2">
      <c r="B19" s="9" t="s">
        <v>427</v>
      </c>
      <c r="C19" s="9" t="s">
        <v>428</v>
      </c>
      <c r="D19" s="9">
        <v>0</v>
      </c>
      <c r="E19" s="9">
        <v>-7.6360297794912328E-3</v>
      </c>
      <c r="F19" s="9">
        <v>-7.5000000000002842E-3</v>
      </c>
      <c r="G19" s="9">
        <v>7.6360297794912328E-3</v>
      </c>
      <c r="H19" s="9">
        <v>1E+30</v>
      </c>
    </row>
    <row r="20" spans="1:8" x14ac:dyDescent="0.2">
      <c r="B20" s="9" t="s">
        <v>429</v>
      </c>
      <c r="C20" s="9" t="s">
        <v>430</v>
      </c>
      <c r="D20" s="9">
        <v>0</v>
      </c>
      <c r="E20" s="9">
        <v>-8.4678918190818223E-4</v>
      </c>
      <c r="F20" s="9">
        <v>-8.3333333333328596E-3</v>
      </c>
      <c r="G20" s="9">
        <v>8.4678918190818223E-4</v>
      </c>
      <c r="H20" s="9">
        <v>1E+30</v>
      </c>
    </row>
    <row r="21" spans="1:8" x14ac:dyDescent="0.2">
      <c r="B21" s="9" t="s">
        <v>431</v>
      </c>
      <c r="C21" s="9" t="s">
        <v>432</v>
      </c>
      <c r="D21" s="9">
        <v>0</v>
      </c>
      <c r="E21" s="9">
        <v>-1.2723190594006262E-3</v>
      </c>
      <c r="F21" s="9">
        <v>-9.5833333333388282E-3</v>
      </c>
      <c r="G21" s="9">
        <v>1.2723190594006262E-3</v>
      </c>
      <c r="H21" s="9">
        <v>1E+30</v>
      </c>
    </row>
    <row r="22" spans="1:8" x14ac:dyDescent="0.2">
      <c r="B22" s="9" t="s">
        <v>433</v>
      </c>
      <c r="C22" s="9" t="s">
        <v>434</v>
      </c>
      <c r="D22" s="9">
        <v>0</v>
      </c>
      <c r="E22" s="9">
        <v>-1.2617960192744071E-3</v>
      </c>
      <c r="F22" s="9">
        <v>-9.1666666666654351E-3</v>
      </c>
      <c r="G22" s="9">
        <v>1.2617960192744071E-3</v>
      </c>
      <c r="H22" s="9">
        <v>1E+30</v>
      </c>
    </row>
    <row r="23" spans="1:8" x14ac:dyDescent="0.2">
      <c r="B23" s="9" t="s">
        <v>435</v>
      </c>
      <c r="C23" s="9" t="s">
        <v>436</v>
      </c>
      <c r="D23" s="9">
        <v>492.82144493051567</v>
      </c>
      <c r="E23" s="9">
        <v>0</v>
      </c>
      <c r="F23" s="9">
        <v>-7.9166666666665719E-3</v>
      </c>
      <c r="G23" s="9">
        <v>4.1739946360005379E-4</v>
      </c>
      <c r="H23" s="9">
        <v>0</v>
      </c>
    </row>
    <row r="24" spans="1:8" x14ac:dyDescent="0.2">
      <c r="B24" s="9" t="s">
        <v>437</v>
      </c>
      <c r="C24" s="9" t="s">
        <v>438</v>
      </c>
      <c r="D24" s="9">
        <v>1458.75</v>
      </c>
      <c r="E24" s="9">
        <v>0</v>
      </c>
      <c r="F24" s="9">
        <v>-1.5833333333333144E-2</v>
      </c>
      <c r="G24" s="9">
        <v>1E+30</v>
      </c>
      <c r="H24" s="9">
        <v>7.6360297794912328E-3</v>
      </c>
    </row>
    <row r="25" spans="1:8" x14ac:dyDescent="0.2">
      <c r="B25" s="9" t="s">
        <v>439</v>
      </c>
      <c r="C25" s="9" t="s">
        <v>440</v>
      </c>
      <c r="D25" s="9">
        <v>1220.2017934170124</v>
      </c>
      <c r="E25" s="9">
        <v>0</v>
      </c>
      <c r="F25" s="9">
        <v>-2.3749999999999716E-2</v>
      </c>
      <c r="G25" s="9">
        <v>0</v>
      </c>
      <c r="H25" s="9">
        <v>1.272000979635711E-3</v>
      </c>
    </row>
    <row r="26" spans="1:8" x14ac:dyDescent="0.2">
      <c r="B26" s="9" t="s">
        <v>441</v>
      </c>
      <c r="C26" s="9" t="s">
        <v>442</v>
      </c>
      <c r="D26" s="9">
        <v>0</v>
      </c>
      <c r="E26" s="9">
        <v>-1.277542915093143E-2</v>
      </c>
      <c r="F26" s="9">
        <v>-3.666666666666174E-2</v>
      </c>
      <c r="G26" s="9">
        <v>1.277542915093143E-2</v>
      </c>
      <c r="H26" s="9">
        <v>1E+30</v>
      </c>
    </row>
    <row r="27" spans="1:8" x14ac:dyDescent="0.2">
      <c r="B27" s="9" t="s">
        <v>443</v>
      </c>
      <c r="C27" s="9" t="s">
        <v>444</v>
      </c>
      <c r="D27" s="9">
        <v>1090.6086468656733</v>
      </c>
      <c r="E27" s="9">
        <v>0</v>
      </c>
      <c r="F27" s="9">
        <v>-1.8333333333337976E-2</v>
      </c>
      <c r="G27" s="9">
        <v>2.5098958333379237E-3</v>
      </c>
      <c r="H27" s="9">
        <v>0</v>
      </c>
    </row>
    <row r="28" spans="1:8" ht="16" thickBot="1" x14ac:dyDescent="0.25">
      <c r="B28" s="7" t="s">
        <v>445</v>
      </c>
      <c r="C28" s="7" t="s">
        <v>446</v>
      </c>
      <c r="D28" s="7">
        <v>0</v>
      </c>
      <c r="E28" s="7">
        <v>-7.6607053636420881E-3</v>
      </c>
      <c r="F28" s="7">
        <v>-4.1666666666664298E-2</v>
      </c>
      <c r="G28" s="7">
        <v>7.6607053636420881E-3</v>
      </c>
      <c r="H28" s="7">
        <v>1E+30</v>
      </c>
    </row>
    <row r="30" spans="1:8" ht="16" thickBot="1" x14ac:dyDescent="0.25">
      <c r="A30" t="s">
        <v>399</v>
      </c>
    </row>
    <row r="31" spans="1:8" x14ac:dyDescent="0.2">
      <c r="B31" s="13"/>
      <c r="C31" s="13"/>
      <c r="D31" s="13" t="s">
        <v>488</v>
      </c>
      <c r="E31" s="13" t="s">
        <v>497</v>
      </c>
      <c r="F31" s="13" t="s">
        <v>499</v>
      </c>
      <c r="G31" s="13" t="s">
        <v>494</v>
      </c>
      <c r="H31" s="13" t="s">
        <v>494</v>
      </c>
    </row>
    <row r="32" spans="1:8" ht="16" thickBot="1" x14ac:dyDescent="0.25">
      <c r="B32" s="14" t="s">
        <v>393</v>
      </c>
      <c r="C32" s="14" t="s">
        <v>394</v>
      </c>
      <c r="D32" s="14" t="s">
        <v>489</v>
      </c>
      <c r="E32" s="14" t="s">
        <v>498</v>
      </c>
      <c r="F32" s="14" t="s">
        <v>500</v>
      </c>
      <c r="G32" s="14" t="s">
        <v>495</v>
      </c>
      <c r="H32" s="14" t="s">
        <v>496</v>
      </c>
    </row>
    <row r="33" spans="2:8" x14ac:dyDescent="0.2">
      <c r="B33" s="9" t="s">
        <v>447</v>
      </c>
      <c r="C33" s="9" t="s">
        <v>354</v>
      </c>
      <c r="D33" s="9">
        <v>0</v>
      </c>
      <c r="E33" s="9">
        <v>0</v>
      </c>
      <c r="F33" s="9">
        <v>0</v>
      </c>
      <c r="G33" s="9">
        <v>1E+30</v>
      </c>
      <c r="H33" s="9">
        <v>1480</v>
      </c>
    </row>
    <row r="34" spans="2:8" x14ac:dyDescent="0.2">
      <c r="B34" s="9" t="s">
        <v>450</v>
      </c>
      <c r="C34" s="9" t="s">
        <v>354</v>
      </c>
      <c r="D34" s="9">
        <v>0</v>
      </c>
      <c r="E34" s="9">
        <v>0</v>
      </c>
      <c r="F34" s="9">
        <v>0</v>
      </c>
      <c r="G34" s="9">
        <v>1E+30</v>
      </c>
      <c r="H34" s="9">
        <v>531.62002258367954</v>
      </c>
    </row>
    <row r="35" spans="2:8" x14ac:dyDescent="0.2">
      <c r="B35" s="9" t="s">
        <v>453</v>
      </c>
      <c r="C35" s="9" t="s">
        <v>354</v>
      </c>
      <c r="D35" s="9">
        <v>0</v>
      </c>
      <c r="E35" s="9">
        <v>0</v>
      </c>
      <c r="F35" s="9">
        <v>0</v>
      </c>
      <c r="G35" s="9">
        <v>1E+30</v>
      </c>
      <c r="H35" s="9">
        <v>0</v>
      </c>
    </row>
    <row r="36" spans="2:8" x14ac:dyDescent="0.2">
      <c r="B36" s="9" t="s">
        <v>455</v>
      </c>
      <c r="C36" s="9" t="s">
        <v>354</v>
      </c>
      <c r="D36" s="9">
        <v>0</v>
      </c>
      <c r="E36" s="9">
        <v>0</v>
      </c>
      <c r="F36" s="9">
        <v>0</v>
      </c>
      <c r="G36" s="9">
        <v>1E+30</v>
      </c>
      <c r="H36" s="9">
        <v>710.16538266786438</v>
      </c>
    </row>
    <row r="37" spans="2:8" x14ac:dyDescent="0.2">
      <c r="B37" s="9" t="s">
        <v>457</v>
      </c>
      <c r="C37" s="9" t="s">
        <v>354</v>
      </c>
      <c r="D37" s="9">
        <v>0</v>
      </c>
      <c r="E37" s="9">
        <v>0</v>
      </c>
      <c r="F37" s="9">
        <v>0</v>
      </c>
      <c r="G37" s="9">
        <v>1E+30</v>
      </c>
      <c r="H37" s="9">
        <v>0</v>
      </c>
    </row>
    <row r="38" spans="2:8" x14ac:dyDescent="0.2">
      <c r="B38" s="9" t="s">
        <v>459</v>
      </c>
      <c r="C38" s="9" t="s">
        <v>354</v>
      </c>
      <c r="D38" s="9">
        <v>0</v>
      </c>
      <c r="E38" s="9">
        <v>0</v>
      </c>
      <c r="F38" s="9">
        <v>0</v>
      </c>
      <c r="G38" s="9">
        <v>1E+30</v>
      </c>
      <c r="H38" s="9">
        <v>0</v>
      </c>
    </row>
    <row r="39" spans="2:8" x14ac:dyDescent="0.2">
      <c r="B39" s="9" t="s">
        <v>461</v>
      </c>
      <c r="C39" s="9" t="s">
        <v>354</v>
      </c>
      <c r="D39" s="9">
        <v>250</v>
      </c>
      <c r="E39" s="9">
        <v>3.457503091650653E-2</v>
      </c>
      <c r="F39" s="9">
        <v>0</v>
      </c>
      <c r="G39" s="9">
        <v>1071.768719182377</v>
      </c>
      <c r="H39" s="9">
        <v>58266.799183799063</v>
      </c>
    </row>
    <row r="40" spans="2:8" x14ac:dyDescent="0.2">
      <c r="B40" s="9" t="s">
        <v>463</v>
      </c>
      <c r="C40" s="9" t="s">
        <v>354</v>
      </c>
      <c r="D40" s="9">
        <v>250</v>
      </c>
      <c r="E40" s="9">
        <v>3.4532799789029497E-2</v>
      </c>
      <c r="F40" s="9">
        <v>0</v>
      </c>
      <c r="G40" s="9">
        <v>701.21410439454087</v>
      </c>
      <c r="H40" s="9">
        <v>1006.9801137540898</v>
      </c>
    </row>
    <row r="41" spans="2:8" x14ac:dyDescent="0.2">
      <c r="B41" s="9" t="s">
        <v>465</v>
      </c>
      <c r="C41" s="9" t="s">
        <v>354</v>
      </c>
      <c r="D41" s="9">
        <v>250</v>
      </c>
      <c r="E41" s="9">
        <v>2.6911697151851807E-2</v>
      </c>
      <c r="F41" s="9">
        <v>0</v>
      </c>
      <c r="G41" s="9">
        <v>531.48711757800652</v>
      </c>
      <c r="H41" s="9">
        <v>238.32038242195424</v>
      </c>
    </row>
    <row r="42" spans="2:8" x14ac:dyDescent="0.2">
      <c r="B42" s="9" t="s">
        <v>467</v>
      </c>
      <c r="C42" s="9" t="s">
        <v>354</v>
      </c>
      <c r="D42" s="9">
        <v>250</v>
      </c>
      <c r="E42" s="9">
        <v>1.8433662721737194E-2</v>
      </c>
      <c r="F42" s="9">
        <v>0</v>
      </c>
      <c r="G42" s="9">
        <v>1078.6782522138255</v>
      </c>
      <c r="H42" s="9">
        <v>92207.630566569685</v>
      </c>
    </row>
    <row r="43" spans="2:8" x14ac:dyDescent="0.2">
      <c r="B43" s="9" t="s">
        <v>469</v>
      </c>
      <c r="C43" s="9" t="s">
        <v>354</v>
      </c>
      <c r="D43" s="9">
        <v>250</v>
      </c>
      <c r="E43" s="9">
        <v>1.0442287932988232E-2</v>
      </c>
      <c r="F43" s="9">
        <v>0</v>
      </c>
      <c r="G43" s="9">
        <v>705.74363571735068</v>
      </c>
      <c r="H43" s="9">
        <v>1013.4847575399332</v>
      </c>
    </row>
    <row r="44" spans="2:8" x14ac:dyDescent="0.2">
      <c r="B44" s="9" t="s">
        <v>471</v>
      </c>
      <c r="C44" s="9" t="s">
        <v>354</v>
      </c>
      <c r="D44" s="9">
        <v>250</v>
      </c>
      <c r="E44" s="9">
        <v>2.5136812802403676E-3</v>
      </c>
      <c r="F44" s="9">
        <v>0</v>
      </c>
      <c r="G44" s="9">
        <v>709.09591798704912</v>
      </c>
      <c r="H44" s="9">
        <v>492.69515558035295</v>
      </c>
    </row>
    <row r="45" spans="2:8" x14ac:dyDescent="0.2">
      <c r="B45" s="9" t="s">
        <v>473</v>
      </c>
      <c r="C45" s="9" t="s">
        <v>474</v>
      </c>
      <c r="D45" s="9">
        <v>1480</v>
      </c>
      <c r="E45" s="9">
        <v>8.0625998298807146E-3</v>
      </c>
      <c r="F45" s="9">
        <v>1480</v>
      </c>
      <c r="G45" s="9">
        <v>136254.09501611796</v>
      </c>
      <c r="H45" s="9">
        <v>1458.75</v>
      </c>
    </row>
    <row r="46" spans="2:8" x14ac:dyDescent="0.2">
      <c r="B46" s="9" t="s">
        <v>476</v>
      </c>
      <c r="C46" s="9" t="s">
        <v>474</v>
      </c>
      <c r="D46" s="9">
        <v>531.62002258367954</v>
      </c>
      <c r="E46" s="9">
        <v>0</v>
      </c>
      <c r="F46" s="9">
        <v>770</v>
      </c>
      <c r="G46" s="9">
        <v>1E+30</v>
      </c>
      <c r="H46" s="9">
        <v>238.37997741632046</v>
      </c>
    </row>
    <row r="47" spans="2:8" x14ac:dyDescent="0.2">
      <c r="B47" s="9" t="s">
        <v>478</v>
      </c>
      <c r="C47" s="9" t="s">
        <v>474</v>
      </c>
      <c r="D47" s="9">
        <v>0</v>
      </c>
      <c r="E47" s="9">
        <v>0</v>
      </c>
      <c r="F47" s="9">
        <v>1640</v>
      </c>
      <c r="G47" s="9">
        <v>1E+30</v>
      </c>
      <c r="H47" s="9">
        <v>1640</v>
      </c>
    </row>
    <row r="48" spans="2:8" x14ac:dyDescent="0.2">
      <c r="B48" s="9" t="s">
        <v>480</v>
      </c>
      <c r="C48" s="9" t="s">
        <v>474</v>
      </c>
      <c r="D48" s="9">
        <v>710.16538266786438</v>
      </c>
      <c r="E48" s="9">
        <v>0</v>
      </c>
      <c r="F48" s="9">
        <v>1730</v>
      </c>
      <c r="G48" s="9">
        <v>1E+30</v>
      </c>
      <c r="H48" s="9">
        <v>1019.8346173321356</v>
      </c>
    </row>
    <row r="49" spans="2:8" x14ac:dyDescent="0.2">
      <c r="B49" s="9" t="s">
        <v>482</v>
      </c>
      <c r="C49" s="9" t="s">
        <v>474</v>
      </c>
      <c r="D49" s="9">
        <v>0</v>
      </c>
      <c r="E49" s="9">
        <v>0</v>
      </c>
      <c r="F49" s="9">
        <v>2090</v>
      </c>
      <c r="G49" s="9">
        <v>1E+30</v>
      </c>
      <c r="H49" s="9">
        <v>2090</v>
      </c>
    </row>
    <row r="50" spans="2:8" ht="16" thickBot="1" x14ac:dyDescent="0.25">
      <c r="B50" s="7" t="s">
        <v>484</v>
      </c>
      <c r="C50" s="7" t="s">
        <v>474</v>
      </c>
      <c r="D50" s="7">
        <v>0</v>
      </c>
      <c r="E50" s="7">
        <v>0</v>
      </c>
      <c r="F50" s="7">
        <v>2420</v>
      </c>
      <c r="G50" s="7">
        <v>1E+30</v>
      </c>
      <c r="H50" s="7">
        <v>2420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1640625" bestFit="1" customWidth="1"/>
    <col min="3" max="3" width="27.1640625" bestFit="1" customWidth="1"/>
    <col min="4" max="4" width="12.6640625" bestFit="1" customWidth="1"/>
    <col min="5" max="5" width="2.33203125" customWidth="1"/>
    <col min="6" max="7" width="12.6640625" bestFit="1" customWidth="1"/>
    <col min="8" max="8" width="2.33203125" customWidth="1"/>
    <col min="9" max="10" width="12.6640625" bestFit="1" customWidth="1"/>
  </cols>
  <sheetData>
    <row r="1" spans="1:10" x14ac:dyDescent="0.2">
      <c r="A1" s="6" t="s">
        <v>501</v>
      </c>
    </row>
    <row r="2" spans="1:10" x14ac:dyDescent="0.2">
      <c r="A2" s="6" t="s">
        <v>507</v>
      </c>
    </row>
    <row r="3" spans="1:10" x14ac:dyDescent="0.2">
      <c r="A3" s="6" t="s">
        <v>512</v>
      </c>
    </row>
    <row r="5" spans="1:10" ht="16" thickBot="1" x14ac:dyDescent="0.25"/>
    <row r="6" spans="1:10" x14ac:dyDescent="0.2">
      <c r="B6" s="13"/>
      <c r="C6" s="13" t="s">
        <v>492</v>
      </c>
      <c r="D6" s="13"/>
    </row>
    <row r="7" spans="1:10" ht="16" thickBot="1" x14ac:dyDescent="0.25">
      <c r="B7" s="14" t="s">
        <v>393</v>
      </c>
      <c r="C7" s="14" t="s">
        <v>394</v>
      </c>
      <c r="D7" s="14" t="s">
        <v>489</v>
      </c>
    </row>
    <row r="8" spans="1:10" ht="16" thickBot="1" x14ac:dyDescent="0.25">
      <c r="B8" s="7" t="s">
        <v>404</v>
      </c>
      <c r="C8" s="7" t="s">
        <v>405</v>
      </c>
      <c r="D8" s="7">
        <v>-83.713369776393108</v>
      </c>
    </row>
    <row r="10" spans="1:10" ht="16" thickBot="1" x14ac:dyDescent="0.25"/>
    <row r="11" spans="1:10" x14ac:dyDescent="0.2">
      <c r="B11" s="13"/>
      <c r="C11" s="13" t="s">
        <v>502</v>
      </c>
      <c r="D11" s="13"/>
      <c r="F11" s="13" t="s">
        <v>503</v>
      </c>
      <c r="G11" s="13" t="s">
        <v>492</v>
      </c>
      <c r="I11" s="13" t="s">
        <v>506</v>
      </c>
      <c r="J11" s="13" t="s">
        <v>492</v>
      </c>
    </row>
    <row r="12" spans="1:10" ht="16" thickBot="1" x14ac:dyDescent="0.25">
      <c r="B12" s="14" t="s">
        <v>393</v>
      </c>
      <c r="C12" s="14" t="s">
        <v>394</v>
      </c>
      <c r="D12" s="14" t="s">
        <v>489</v>
      </c>
      <c r="F12" s="14" t="s">
        <v>504</v>
      </c>
      <c r="G12" s="14" t="s">
        <v>505</v>
      </c>
      <c r="I12" s="14" t="s">
        <v>504</v>
      </c>
      <c r="J12" s="14" t="s">
        <v>505</v>
      </c>
    </row>
    <row r="13" spans="1:10" x14ac:dyDescent="0.2">
      <c r="B13" s="9" t="s">
        <v>406</v>
      </c>
      <c r="C13" s="9" t="s">
        <v>407</v>
      </c>
      <c r="D13" s="9">
        <v>0</v>
      </c>
      <c r="F13" s="9">
        <v>0</v>
      </c>
      <c r="G13" s="9">
        <v>-83.713369776393108</v>
      </c>
      <c r="I13" s="9">
        <v>0</v>
      </c>
      <c r="J13" s="9">
        <v>-83.713369776393108</v>
      </c>
    </row>
    <row r="14" spans="1:10" x14ac:dyDescent="0.2">
      <c r="B14" s="9" t="s">
        <v>409</v>
      </c>
      <c r="C14" s="9" t="s">
        <v>410</v>
      </c>
      <c r="D14" s="9">
        <v>531.62002258367954</v>
      </c>
      <c r="F14" s="9">
        <v>531.62002258367897</v>
      </c>
      <c r="G14" s="9">
        <v>-83.713369776393108</v>
      </c>
      <c r="I14" s="9">
        <v>531.62002258367897</v>
      </c>
      <c r="J14" s="9">
        <v>-83.713369776393108</v>
      </c>
    </row>
    <row r="15" spans="1:10" x14ac:dyDescent="0.2">
      <c r="B15" s="9" t="s">
        <v>411</v>
      </c>
      <c r="C15" s="9" t="s">
        <v>412</v>
      </c>
      <c r="D15" s="9">
        <v>0</v>
      </c>
      <c r="F15" s="9">
        <v>7.5089686534806784E-11</v>
      </c>
      <c r="G15" s="9">
        <v>-83.713369776392483</v>
      </c>
      <c r="I15" s="9">
        <v>7.5089686534806784E-11</v>
      </c>
      <c r="J15" s="9">
        <v>-83.713369776392483</v>
      </c>
    </row>
    <row r="16" spans="1:10" x14ac:dyDescent="0.2">
      <c r="B16" s="9" t="s">
        <v>413</v>
      </c>
      <c r="C16" s="9" t="s">
        <v>414</v>
      </c>
      <c r="D16" s="9">
        <v>710.16538266786438</v>
      </c>
      <c r="F16" s="9">
        <v>710.16538266778866</v>
      </c>
      <c r="G16" s="9">
        <v>-83.713369776393719</v>
      </c>
      <c r="I16" s="9">
        <v>710.16538266778866</v>
      </c>
      <c r="J16" s="9">
        <v>-83.713369776393719</v>
      </c>
    </row>
    <row r="17" spans="2:10" x14ac:dyDescent="0.2">
      <c r="B17" s="9" t="s">
        <v>415</v>
      </c>
      <c r="C17" s="9" t="s">
        <v>416</v>
      </c>
      <c r="D17" s="9">
        <v>0</v>
      </c>
      <c r="F17" s="9">
        <v>1.5916157281026244E-12</v>
      </c>
      <c r="G17" s="9">
        <v>-83.713369776393108</v>
      </c>
      <c r="I17" s="9">
        <v>1.5916157281026244E-12</v>
      </c>
      <c r="J17" s="9">
        <v>-83.713369776393108</v>
      </c>
    </row>
    <row r="18" spans="2:10" x14ac:dyDescent="0.2">
      <c r="B18" s="9" t="s">
        <v>417</v>
      </c>
      <c r="C18" s="9" t="s">
        <v>418</v>
      </c>
      <c r="D18" s="9">
        <v>0</v>
      </c>
      <c r="F18" s="9">
        <v>3.5242919693700969E-12</v>
      </c>
      <c r="G18" s="9">
        <v>-83.713369776393108</v>
      </c>
      <c r="I18" s="9">
        <v>3.5242919693700969E-12</v>
      </c>
      <c r="J18" s="9">
        <v>-83.713369776393108</v>
      </c>
    </row>
    <row r="19" spans="2:10" x14ac:dyDescent="0.2">
      <c r="B19" s="9" t="s">
        <v>419</v>
      </c>
      <c r="C19" s="9" t="s">
        <v>420</v>
      </c>
      <c r="D19" s="9">
        <v>1480</v>
      </c>
      <c r="F19" s="9">
        <v>1479.9999999688739</v>
      </c>
      <c r="G19" s="9">
        <v>-83.713369777132357</v>
      </c>
      <c r="I19" s="9">
        <v>1479.9999999688739</v>
      </c>
      <c r="J19" s="9">
        <v>-83.713369777132357</v>
      </c>
    </row>
    <row r="20" spans="2:10" x14ac:dyDescent="0.2">
      <c r="B20" s="9" t="s">
        <v>421</v>
      </c>
      <c r="C20" s="9" t="s">
        <v>422</v>
      </c>
      <c r="D20" s="9">
        <v>0</v>
      </c>
      <c r="F20" s="9">
        <v>-4.5474735088646412E-13</v>
      </c>
      <c r="G20" s="9">
        <v>-83.713369776393122</v>
      </c>
      <c r="I20" s="9">
        <v>-4.5474735088646412E-13</v>
      </c>
      <c r="J20" s="9">
        <v>-83.713369776393122</v>
      </c>
    </row>
    <row r="21" spans="2:10" x14ac:dyDescent="0.2">
      <c r="B21" s="9" t="s">
        <v>423</v>
      </c>
      <c r="C21" s="9" t="s">
        <v>424</v>
      </c>
      <c r="D21" s="9">
        <v>0</v>
      </c>
      <c r="F21" s="9">
        <v>-9.1290530690457672E-11</v>
      </c>
      <c r="G21" s="9">
        <v>-83.713369776395282</v>
      </c>
      <c r="I21" s="9">
        <v>-9.1290530690457672E-11</v>
      </c>
      <c r="J21" s="9">
        <v>-83.713369776395282</v>
      </c>
    </row>
    <row r="22" spans="2:10" x14ac:dyDescent="0.2">
      <c r="B22" s="9" t="s">
        <v>425</v>
      </c>
      <c r="C22" s="9" t="s">
        <v>426</v>
      </c>
      <c r="D22" s="9">
        <v>0</v>
      </c>
      <c r="F22" s="9">
        <v>-7.5715433922596276E-11</v>
      </c>
      <c r="G22" s="9">
        <v>-83.713369776394245</v>
      </c>
      <c r="I22" s="9">
        <v>-7.5715433922596276E-11</v>
      </c>
      <c r="J22" s="9">
        <v>-83.713369776394245</v>
      </c>
    </row>
    <row r="23" spans="2:10" x14ac:dyDescent="0.2">
      <c r="B23" s="9" t="s">
        <v>427</v>
      </c>
      <c r="C23" s="9" t="s">
        <v>428</v>
      </c>
      <c r="D23" s="9">
        <v>0</v>
      </c>
      <c r="F23" s="9">
        <v>0</v>
      </c>
      <c r="G23" s="9">
        <v>-83.713369776393108</v>
      </c>
      <c r="I23" s="9">
        <v>0</v>
      </c>
      <c r="J23" s="9">
        <v>-83.713369776393108</v>
      </c>
    </row>
    <row r="24" spans="2:10" x14ac:dyDescent="0.2">
      <c r="B24" s="9" t="s">
        <v>429</v>
      </c>
      <c r="C24" s="9" t="s">
        <v>430</v>
      </c>
      <c r="D24" s="9">
        <v>0</v>
      </c>
      <c r="F24" s="9">
        <v>4.5474735088646412E-13</v>
      </c>
      <c r="G24" s="9">
        <v>-83.713369776393108</v>
      </c>
      <c r="I24" s="9">
        <v>4.5474735088646412E-13</v>
      </c>
      <c r="J24" s="9">
        <v>-83.713369776393108</v>
      </c>
    </row>
    <row r="25" spans="2:10" x14ac:dyDescent="0.2">
      <c r="B25" s="9" t="s">
        <v>431</v>
      </c>
      <c r="C25" s="9" t="s">
        <v>432</v>
      </c>
      <c r="D25" s="9">
        <v>0</v>
      </c>
      <c r="F25" s="9">
        <v>9.1290530690457672E-11</v>
      </c>
      <c r="G25" s="9">
        <v>-83.713369776393989</v>
      </c>
      <c r="I25" s="9">
        <v>9.1290530690457672E-11</v>
      </c>
      <c r="J25" s="9">
        <v>-83.713369776393989</v>
      </c>
    </row>
    <row r="26" spans="2:10" x14ac:dyDescent="0.2">
      <c r="B26" s="9" t="s">
        <v>433</v>
      </c>
      <c r="C26" s="9" t="s">
        <v>434</v>
      </c>
      <c r="D26" s="9">
        <v>0</v>
      </c>
      <c r="F26" s="9">
        <v>1.5771584423807245E-12</v>
      </c>
      <c r="G26" s="9">
        <v>-83.713369776393137</v>
      </c>
      <c r="I26" s="9">
        <v>1.5771584423807245E-12</v>
      </c>
      <c r="J26" s="9">
        <v>-83.713369776393137</v>
      </c>
    </row>
    <row r="27" spans="2:10" x14ac:dyDescent="0.2">
      <c r="B27" s="9" t="s">
        <v>435</v>
      </c>
      <c r="C27" s="9" t="s">
        <v>436</v>
      </c>
      <c r="D27" s="9">
        <v>492.82144493051567</v>
      </c>
      <c r="F27" s="9">
        <v>492.82144493037907</v>
      </c>
      <c r="G27" s="9">
        <v>-83.713369776392028</v>
      </c>
      <c r="I27" s="9">
        <v>492.82144493037907</v>
      </c>
      <c r="J27" s="9">
        <v>-83.713369776392028</v>
      </c>
    </row>
    <row r="28" spans="2:10" x14ac:dyDescent="0.2">
      <c r="B28" s="9" t="s">
        <v>437</v>
      </c>
      <c r="C28" s="9" t="s">
        <v>438</v>
      </c>
      <c r="D28" s="9">
        <v>1458.75</v>
      </c>
      <c r="F28" s="9">
        <v>1458.7499998546366</v>
      </c>
      <c r="G28" s="9">
        <v>-83.713369774091518</v>
      </c>
      <c r="I28" s="9">
        <v>1458.7499998546366</v>
      </c>
      <c r="J28" s="9">
        <v>-83.713369774091518</v>
      </c>
    </row>
    <row r="29" spans="2:10" x14ac:dyDescent="0.2">
      <c r="B29" s="9" t="s">
        <v>439</v>
      </c>
      <c r="C29" s="9" t="s">
        <v>440</v>
      </c>
      <c r="D29" s="9">
        <v>1220.2017934170124</v>
      </c>
      <c r="F29" s="9">
        <v>1220.2017934041803</v>
      </c>
      <c r="G29" s="9">
        <v>-83.713369776088356</v>
      </c>
      <c r="I29" s="9">
        <v>1220.2017934041803</v>
      </c>
      <c r="J29" s="9">
        <v>-83.713369776088356</v>
      </c>
    </row>
    <row r="30" spans="2:10" x14ac:dyDescent="0.2">
      <c r="B30" s="9" t="s">
        <v>441</v>
      </c>
      <c r="C30" s="9" t="s">
        <v>442</v>
      </c>
      <c r="D30" s="9">
        <v>0</v>
      </c>
      <c r="F30" s="9">
        <v>3.5307650386072566E-12</v>
      </c>
      <c r="G30" s="9">
        <v>-83.71336977639325</v>
      </c>
      <c r="I30" s="9">
        <v>3.5307650386072566E-12</v>
      </c>
      <c r="J30" s="9">
        <v>-83.71336977639325</v>
      </c>
    </row>
    <row r="31" spans="2:10" x14ac:dyDescent="0.2">
      <c r="B31" s="9" t="s">
        <v>443</v>
      </c>
      <c r="C31" s="9" t="s">
        <v>444</v>
      </c>
      <c r="D31" s="9">
        <v>1090.6086468656733</v>
      </c>
      <c r="F31" s="9">
        <v>1090.6086467806747</v>
      </c>
      <c r="G31" s="9">
        <v>-83.713369774834803</v>
      </c>
      <c r="I31" s="9">
        <v>1090.6086467806747</v>
      </c>
      <c r="J31" s="9">
        <v>-83.713369774834803</v>
      </c>
    </row>
    <row r="32" spans="2:10" ht="16" thickBot="1" x14ac:dyDescent="0.25">
      <c r="B32" s="7" t="s">
        <v>445</v>
      </c>
      <c r="C32" s="7" t="s">
        <v>446</v>
      </c>
      <c r="D32" s="7">
        <v>0</v>
      </c>
      <c r="F32" s="7">
        <v>0</v>
      </c>
      <c r="G32" s="7">
        <v>-83.713369776393108</v>
      </c>
      <c r="I32" s="7">
        <v>0</v>
      </c>
      <c r="J32" s="7">
        <v>-83.713369776393108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2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33203125" customWidth="1"/>
    <col min="3" max="3" width="27.1640625" bestFit="1" customWidth="1"/>
    <col min="4" max="4" width="13.6640625" bestFit="1" customWidth="1"/>
    <col min="5" max="5" width="15.5" bestFit="1" customWidth="1"/>
    <col min="6" max="6" width="11.5" customWidth="1"/>
    <col min="7" max="7" width="12" bestFit="1" customWidth="1"/>
  </cols>
  <sheetData>
    <row r="1" spans="1:5" x14ac:dyDescent="0.2">
      <c r="A1" s="6" t="s">
        <v>381</v>
      </c>
    </row>
    <row r="2" spans="1:5" x14ac:dyDescent="0.2">
      <c r="A2" s="6" t="s">
        <v>507</v>
      </c>
    </row>
    <row r="3" spans="1:5" x14ac:dyDescent="0.2">
      <c r="A3" s="6" t="s">
        <v>513</v>
      </c>
    </row>
    <row r="4" spans="1:5" x14ac:dyDescent="0.2">
      <c r="A4" s="6" t="s">
        <v>384</v>
      </c>
    </row>
    <row r="5" spans="1:5" x14ac:dyDescent="0.2">
      <c r="A5" s="6" t="s">
        <v>385</v>
      </c>
    </row>
    <row r="6" spans="1:5" x14ac:dyDescent="0.2">
      <c r="A6" s="6"/>
      <c r="B6" t="s">
        <v>386</v>
      </c>
    </row>
    <row r="7" spans="1:5" x14ac:dyDescent="0.2">
      <c r="A7" s="6"/>
      <c r="B7" t="s">
        <v>387</v>
      </c>
    </row>
    <row r="8" spans="1:5" x14ac:dyDescent="0.2">
      <c r="A8" s="6"/>
      <c r="B8" t="s">
        <v>514</v>
      </c>
    </row>
    <row r="9" spans="1:5" x14ac:dyDescent="0.2">
      <c r="A9" s="6" t="s">
        <v>389</v>
      </c>
    </row>
    <row r="10" spans="1:5" x14ac:dyDescent="0.2">
      <c r="B10" t="s">
        <v>390</v>
      </c>
    </row>
    <row r="11" spans="1:5" x14ac:dyDescent="0.2">
      <c r="B11" t="s">
        <v>391</v>
      </c>
    </row>
    <row r="14" spans="1:5" ht="16" thickBot="1" x14ac:dyDescent="0.25">
      <c r="A14" t="s">
        <v>392</v>
      </c>
    </row>
    <row r="15" spans="1:5" ht="16" thickBot="1" x14ac:dyDescent="0.25">
      <c r="B15" s="12" t="s">
        <v>393</v>
      </c>
      <c r="C15" s="12" t="s">
        <v>394</v>
      </c>
      <c r="D15" s="12" t="s">
        <v>395</v>
      </c>
      <c r="E15" s="12" t="s">
        <v>396</v>
      </c>
    </row>
    <row r="16" spans="1:5" ht="16" thickBot="1" x14ac:dyDescent="0.25">
      <c r="B16" s="7" t="s">
        <v>404</v>
      </c>
      <c r="C16" s="7" t="s">
        <v>405</v>
      </c>
      <c r="D16" s="7">
        <v>-98.639166666666682</v>
      </c>
      <c r="E16" s="7">
        <v>-50.240875099085429</v>
      </c>
    </row>
    <row r="19" spans="1:6" ht="16" thickBot="1" x14ac:dyDescent="0.25">
      <c r="A19" t="s">
        <v>397</v>
      </c>
    </row>
    <row r="20" spans="1:6" ht="16" thickBot="1" x14ac:dyDescent="0.25">
      <c r="B20" s="12" t="s">
        <v>393</v>
      </c>
      <c r="C20" s="12" t="s">
        <v>394</v>
      </c>
      <c r="D20" s="12" t="s">
        <v>395</v>
      </c>
      <c r="E20" s="12" t="s">
        <v>396</v>
      </c>
      <c r="F20" s="12" t="s">
        <v>398</v>
      </c>
    </row>
    <row r="21" spans="1:6" x14ac:dyDescent="0.2">
      <c r="B21" s="9" t="s">
        <v>406</v>
      </c>
      <c r="C21" s="9" t="s">
        <v>407</v>
      </c>
      <c r="D21" s="9">
        <v>298</v>
      </c>
      <c r="E21" s="9">
        <v>0</v>
      </c>
      <c r="F21" s="9" t="s">
        <v>408</v>
      </c>
    </row>
    <row r="22" spans="1:6" x14ac:dyDescent="0.2">
      <c r="B22" s="9" t="s">
        <v>409</v>
      </c>
      <c r="C22" s="9" t="s">
        <v>410</v>
      </c>
      <c r="D22" s="9">
        <v>462</v>
      </c>
      <c r="E22" s="9">
        <v>701.87026642905892</v>
      </c>
      <c r="F22" s="9" t="s">
        <v>408</v>
      </c>
    </row>
    <row r="23" spans="1:6" x14ac:dyDescent="0.2">
      <c r="B23" s="9" t="s">
        <v>411</v>
      </c>
      <c r="C23" s="9" t="s">
        <v>412</v>
      </c>
      <c r="D23" s="9">
        <v>0</v>
      </c>
      <c r="E23" s="9">
        <v>174.00768128427416</v>
      </c>
      <c r="F23" s="9" t="s">
        <v>408</v>
      </c>
    </row>
    <row r="24" spans="1:6" x14ac:dyDescent="0.2">
      <c r="B24" s="9" t="s">
        <v>413</v>
      </c>
      <c r="C24" s="9" t="s">
        <v>414</v>
      </c>
      <c r="D24" s="9">
        <v>458</v>
      </c>
      <c r="E24" s="9">
        <v>0</v>
      </c>
      <c r="F24" s="9" t="s">
        <v>408</v>
      </c>
    </row>
    <row r="25" spans="1:6" x14ac:dyDescent="0.2">
      <c r="B25" s="9" t="s">
        <v>415</v>
      </c>
      <c r="C25" s="9" t="s">
        <v>416</v>
      </c>
      <c r="D25" s="9">
        <v>0</v>
      </c>
      <c r="E25" s="9">
        <v>0</v>
      </c>
      <c r="F25" s="9" t="s">
        <v>408</v>
      </c>
    </row>
    <row r="26" spans="1:6" x14ac:dyDescent="0.2">
      <c r="B26" s="9" t="s">
        <v>417</v>
      </c>
      <c r="C26" s="9" t="s">
        <v>418</v>
      </c>
      <c r="D26" s="9">
        <v>0</v>
      </c>
      <c r="E26" s="9">
        <v>129.47484994044103</v>
      </c>
      <c r="F26" s="9" t="s">
        <v>408</v>
      </c>
    </row>
    <row r="27" spans="1:6" x14ac:dyDescent="0.2">
      <c r="B27" s="9" t="s">
        <v>419</v>
      </c>
      <c r="C27" s="9" t="s">
        <v>420</v>
      </c>
      <c r="D27" s="9">
        <v>778</v>
      </c>
      <c r="E27" s="9">
        <v>1480</v>
      </c>
      <c r="F27" s="9" t="s">
        <v>408</v>
      </c>
    </row>
    <row r="28" spans="1:6" x14ac:dyDescent="0.2">
      <c r="B28" s="9" t="s">
        <v>421</v>
      </c>
      <c r="C28" s="9" t="s">
        <v>422</v>
      </c>
      <c r="D28" s="9">
        <v>0</v>
      </c>
      <c r="E28" s="9">
        <v>0</v>
      </c>
      <c r="F28" s="9" t="s">
        <v>408</v>
      </c>
    </row>
    <row r="29" spans="1:6" x14ac:dyDescent="0.2">
      <c r="B29" s="9" t="s">
        <v>423</v>
      </c>
      <c r="C29" s="9" t="s">
        <v>424</v>
      </c>
      <c r="D29" s="9">
        <v>0</v>
      </c>
      <c r="E29" s="9">
        <v>0</v>
      </c>
      <c r="F29" s="9" t="s">
        <v>408</v>
      </c>
    </row>
    <row r="30" spans="1:6" x14ac:dyDescent="0.2">
      <c r="B30" s="9" t="s">
        <v>425</v>
      </c>
      <c r="C30" s="9" t="s">
        <v>426</v>
      </c>
      <c r="D30" s="9">
        <v>0</v>
      </c>
      <c r="E30" s="9">
        <v>0</v>
      </c>
      <c r="F30" s="9" t="s">
        <v>408</v>
      </c>
    </row>
    <row r="31" spans="1:6" x14ac:dyDescent="0.2">
      <c r="B31" s="9" t="s">
        <v>427</v>
      </c>
      <c r="C31" s="9" t="s">
        <v>428</v>
      </c>
      <c r="D31" s="9">
        <v>0</v>
      </c>
      <c r="E31" s="9">
        <v>0</v>
      </c>
      <c r="F31" s="9" t="s">
        <v>408</v>
      </c>
    </row>
    <row r="32" spans="1:6" x14ac:dyDescent="0.2">
      <c r="B32" s="9" t="s">
        <v>429</v>
      </c>
      <c r="C32" s="9" t="s">
        <v>430</v>
      </c>
      <c r="D32" s="9">
        <v>0</v>
      </c>
      <c r="E32" s="9">
        <v>0</v>
      </c>
      <c r="F32" s="9" t="s">
        <v>408</v>
      </c>
    </row>
    <row r="33" spans="1:7" x14ac:dyDescent="0.2">
      <c r="B33" s="9" t="s">
        <v>431</v>
      </c>
      <c r="C33" s="9" t="s">
        <v>432</v>
      </c>
      <c r="D33" s="9">
        <v>0</v>
      </c>
      <c r="E33" s="9">
        <v>0</v>
      </c>
      <c r="F33" s="9" t="s">
        <v>408</v>
      </c>
    </row>
    <row r="34" spans="1:7" x14ac:dyDescent="0.2">
      <c r="B34" s="9" t="s">
        <v>433</v>
      </c>
      <c r="C34" s="9" t="s">
        <v>434</v>
      </c>
      <c r="D34" s="9">
        <v>0</v>
      </c>
      <c r="E34" s="9">
        <v>0</v>
      </c>
      <c r="F34" s="9" t="s">
        <v>408</v>
      </c>
    </row>
    <row r="35" spans="1:7" x14ac:dyDescent="0.2">
      <c r="B35" s="9" t="s">
        <v>435</v>
      </c>
      <c r="C35" s="9" t="s">
        <v>436</v>
      </c>
      <c r="D35" s="9">
        <v>489</v>
      </c>
      <c r="E35" s="9">
        <v>313.87644922406497</v>
      </c>
      <c r="F35" s="9" t="s">
        <v>408</v>
      </c>
    </row>
    <row r="36" spans="1:7" x14ac:dyDescent="0.2">
      <c r="B36" s="9" t="s">
        <v>437</v>
      </c>
      <c r="C36" s="9" t="s">
        <v>438</v>
      </c>
      <c r="D36" s="9">
        <v>0</v>
      </c>
      <c r="E36" s="9">
        <v>1458.75</v>
      </c>
      <c r="F36" s="9" t="s">
        <v>408</v>
      </c>
    </row>
    <row r="37" spans="1:7" x14ac:dyDescent="0.2">
      <c r="B37" s="9" t="s">
        <v>439</v>
      </c>
      <c r="C37" s="9" t="s">
        <v>440</v>
      </c>
      <c r="D37" s="9">
        <v>975</v>
      </c>
      <c r="E37" s="9">
        <v>590.45203726239174</v>
      </c>
      <c r="F37" s="9" t="s">
        <v>408</v>
      </c>
    </row>
    <row r="38" spans="1:7" x14ac:dyDescent="0.2">
      <c r="B38" s="9" t="s">
        <v>441</v>
      </c>
      <c r="C38" s="9" t="s">
        <v>442</v>
      </c>
      <c r="D38" s="9">
        <v>0</v>
      </c>
      <c r="E38" s="9">
        <v>0</v>
      </c>
      <c r="F38" s="9" t="s">
        <v>408</v>
      </c>
    </row>
    <row r="39" spans="1:7" x14ac:dyDescent="0.2">
      <c r="B39" s="9" t="s">
        <v>443</v>
      </c>
      <c r="C39" s="9" t="s">
        <v>444</v>
      </c>
      <c r="D39" s="9">
        <v>0</v>
      </c>
      <c r="E39" s="9">
        <v>0</v>
      </c>
      <c r="F39" s="9" t="s">
        <v>408</v>
      </c>
    </row>
    <row r="40" spans="1:7" ht="16" thickBot="1" x14ac:dyDescent="0.25">
      <c r="B40" s="7" t="s">
        <v>445</v>
      </c>
      <c r="C40" s="7" t="s">
        <v>446</v>
      </c>
      <c r="D40" s="7">
        <v>1120</v>
      </c>
      <c r="E40" s="7">
        <v>0</v>
      </c>
      <c r="F40" s="7" t="s">
        <v>408</v>
      </c>
    </row>
    <row r="43" spans="1:7" ht="16" thickBot="1" x14ac:dyDescent="0.25">
      <c r="A43" t="s">
        <v>399</v>
      </c>
    </row>
    <row r="44" spans="1:7" ht="16" thickBot="1" x14ac:dyDescent="0.25">
      <c r="B44" s="12" t="s">
        <v>393</v>
      </c>
      <c r="C44" s="12" t="s">
        <v>394</v>
      </c>
      <c r="D44" s="12" t="s">
        <v>400</v>
      </c>
      <c r="E44" s="12" t="s">
        <v>401</v>
      </c>
      <c r="F44" s="12" t="s">
        <v>402</v>
      </c>
      <c r="G44" s="12" t="s">
        <v>403</v>
      </c>
    </row>
    <row r="45" spans="1:7" x14ac:dyDescent="0.2">
      <c r="B45" s="9" t="s">
        <v>447</v>
      </c>
      <c r="C45" s="9" t="s">
        <v>354</v>
      </c>
      <c r="D45" s="9">
        <v>0</v>
      </c>
      <c r="E45" s="9" t="s">
        <v>448</v>
      </c>
      <c r="F45" s="9" t="s">
        <v>449</v>
      </c>
      <c r="G45" s="9">
        <v>1480</v>
      </c>
    </row>
    <row r="46" spans="1:7" x14ac:dyDescent="0.2">
      <c r="B46" s="9" t="s">
        <v>450</v>
      </c>
      <c r="C46" s="9" t="s">
        <v>354</v>
      </c>
      <c r="D46" s="9">
        <v>0</v>
      </c>
      <c r="E46" s="9" t="s">
        <v>451</v>
      </c>
      <c r="F46" s="9" t="s">
        <v>449</v>
      </c>
      <c r="G46" s="9">
        <v>701.87026642905892</v>
      </c>
    </row>
    <row r="47" spans="1:7" x14ac:dyDescent="0.2">
      <c r="B47" s="9" t="s">
        <v>453</v>
      </c>
      <c r="C47" s="9" t="s">
        <v>354</v>
      </c>
      <c r="D47" s="9">
        <v>0</v>
      </c>
      <c r="E47" s="9" t="s">
        <v>454</v>
      </c>
      <c r="F47" s="9" t="s">
        <v>449</v>
      </c>
      <c r="G47" s="9">
        <v>174.00768128427416</v>
      </c>
    </row>
    <row r="48" spans="1:7" x14ac:dyDescent="0.2">
      <c r="B48" s="9" t="s">
        <v>455</v>
      </c>
      <c r="C48" s="9" t="s">
        <v>354</v>
      </c>
      <c r="D48" s="9">
        <v>0</v>
      </c>
      <c r="E48" s="9" t="s">
        <v>456</v>
      </c>
      <c r="F48" s="9" t="s">
        <v>452</v>
      </c>
      <c r="G48" s="9">
        <v>0</v>
      </c>
    </row>
    <row r="49" spans="2:7" x14ac:dyDescent="0.2">
      <c r="B49" s="9" t="s">
        <v>457</v>
      </c>
      <c r="C49" s="9" t="s">
        <v>354</v>
      </c>
      <c r="D49" s="9">
        <v>0</v>
      </c>
      <c r="E49" s="9" t="s">
        <v>458</v>
      </c>
      <c r="F49" s="9" t="s">
        <v>452</v>
      </c>
      <c r="G49" s="9">
        <v>0</v>
      </c>
    </row>
    <row r="50" spans="2:7" x14ac:dyDescent="0.2">
      <c r="B50" s="9" t="s">
        <v>459</v>
      </c>
      <c r="C50" s="9" t="s">
        <v>354</v>
      </c>
      <c r="D50" s="9">
        <v>0</v>
      </c>
      <c r="E50" s="9" t="s">
        <v>460</v>
      </c>
      <c r="F50" s="9" t="s">
        <v>449</v>
      </c>
      <c r="G50" s="9">
        <v>129.47484994044103</v>
      </c>
    </row>
    <row r="51" spans="2:7" x14ac:dyDescent="0.2">
      <c r="B51" s="9" t="s">
        <v>461</v>
      </c>
      <c r="C51" s="9" t="s">
        <v>354</v>
      </c>
      <c r="D51" s="9">
        <v>250</v>
      </c>
      <c r="E51" s="9" t="s">
        <v>462</v>
      </c>
      <c r="F51" s="9" t="s">
        <v>452</v>
      </c>
      <c r="G51" s="9">
        <v>0</v>
      </c>
    </row>
    <row r="52" spans="2:7" x14ac:dyDescent="0.2">
      <c r="B52" s="9" t="s">
        <v>463</v>
      </c>
      <c r="C52" s="9" t="s">
        <v>354</v>
      </c>
      <c r="D52" s="9">
        <v>250</v>
      </c>
      <c r="E52" s="9" t="s">
        <v>464</v>
      </c>
      <c r="F52" s="9" t="s">
        <v>452</v>
      </c>
      <c r="G52" s="9">
        <v>0</v>
      </c>
    </row>
    <row r="53" spans="2:7" x14ac:dyDescent="0.2">
      <c r="B53" s="9" t="s">
        <v>465</v>
      </c>
      <c r="C53" s="9" t="s">
        <v>354</v>
      </c>
      <c r="D53" s="9">
        <v>250</v>
      </c>
      <c r="E53" s="9" t="s">
        <v>466</v>
      </c>
      <c r="F53" s="9" t="s">
        <v>452</v>
      </c>
      <c r="G53" s="9">
        <v>0</v>
      </c>
    </row>
    <row r="54" spans="2:7" x14ac:dyDescent="0.2">
      <c r="B54" s="9" t="s">
        <v>467</v>
      </c>
      <c r="C54" s="9" t="s">
        <v>354</v>
      </c>
      <c r="D54" s="9">
        <v>250</v>
      </c>
      <c r="E54" s="9" t="s">
        <v>468</v>
      </c>
      <c r="F54" s="9" t="s">
        <v>452</v>
      </c>
      <c r="G54" s="9">
        <v>0</v>
      </c>
    </row>
    <row r="55" spans="2:7" x14ac:dyDescent="0.2">
      <c r="B55" s="9" t="s">
        <v>469</v>
      </c>
      <c r="C55" s="9" t="s">
        <v>354</v>
      </c>
      <c r="D55" s="9">
        <v>250</v>
      </c>
      <c r="E55" s="9" t="s">
        <v>470</v>
      </c>
      <c r="F55" s="9" t="s">
        <v>452</v>
      </c>
      <c r="G55" s="9">
        <v>0</v>
      </c>
    </row>
    <row r="56" spans="2:7" x14ac:dyDescent="0.2">
      <c r="B56" s="9" t="s">
        <v>471</v>
      </c>
      <c r="C56" s="9" t="s">
        <v>354</v>
      </c>
      <c r="D56" s="9">
        <v>250</v>
      </c>
      <c r="E56" s="9" t="s">
        <v>472</v>
      </c>
      <c r="F56" s="9" t="s">
        <v>452</v>
      </c>
      <c r="G56" s="9">
        <v>0</v>
      </c>
    </row>
    <row r="57" spans="2:7" x14ac:dyDescent="0.2">
      <c r="B57" s="9" t="s">
        <v>473</v>
      </c>
      <c r="C57" s="9" t="s">
        <v>474</v>
      </c>
      <c r="D57" s="9">
        <v>1480</v>
      </c>
      <c r="E57" s="9" t="s">
        <v>475</v>
      </c>
      <c r="F57" s="9" t="s">
        <v>452</v>
      </c>
      <c r="G57" s="9">
        <v>0</v>
      </c>
    </row>
    <row r="58" spans="2:7" x14ac:dyDescent="0.2">
      <c r="B58" s="9" t="s">
        <v>476</v>
      </c>
      <c r="C58" s="9" t="s">
        <v>474</v>
      </c>
      <c r="D58" s="9">
        <v>701.87026642905892</v>
      </c>
      <c r="E58" s="9" t="s">
        <v>477</v>
      </c>
      <c r="F58" s="9" t="s">
        <v>449</v>
      </c>
      <c r="G58" s="9">
        <v>868.12973357094108</v>
      </c>
    </row>
    <row r="59" spans="2:7" x14ac:dyDescent="0.2">
      <c r="B59" s="9" t="s">
        <v>478</v>
      </c>
      <c r="C59" s="9" t="s">
        <v>474</v>
      </c>
      <c r="D59" s="9">
        <v>174.00768128427416</v>
      </c>
      <c r="E59" s="9" t="s">
        <v>479</v>
      </c>
      <c r="F59" s="9" t="s">
        <v>449</v>
      </c>
      <c r="G59" s="9">
        <v>1465.9923187157258</v>
      </c>
    </row>
    <row r="60" spans="2:7" x14ac:dyDescent="0.2">
      <c r="B60" s="9" t="s">
        <v>480</v>
      </c>
      <c r="C60" s="9" t="s">
        <v>474</v>
      </c>
      <c r="D60" s="9">
        <v>0</v>
      </c>
      <c r="E60" s="9" t="s">
        <v>481</v>
      </c>
      <c r="F60" s="9" t="s">
        <v>449</v>
      </c>
      <c r="G60" s="9">
        <v>1930</v>
      </c>
    </row>
    <row r="61" spans="2:7" x14ac:dyDescent="0.2">
      <c r="B61" s="9" t="s">
        <v>482</v>
      </c>
      <c r="C61" s="9" t="s">
        <v>474</v>
      </c>
      <c r="D61" s="9">
        <v>0</v>
      </c>
      <c r="E61" s="9" t="s">
        <v>483</v>
      </c>
      <c r="F61" s="9" t="s">
        <v>449</v>
      </c>
      <c r="G61" s="9">
        <v>2340</v>
      </c>
    </row>
    <row r="62" spans="2:7" ht="16" thickBot="1" x14ac:dyDescent="0.25">
      <c r="B62" s="7" t="s">
        <v>484</v>
      </c>
      <c r="C62" s="7" t="s">
        <v>474</v>
      </c>
      <c r="D62" s="7">
        <v>129.47484994044103</v>
      </c>
      <c r="E62" s="7" t="s">
        <v>485</v>
      </c>
      <c r="F62" s="7" t="s">
        <v>449</v>
      </c>
      <c r="G62" s="7">
        <v>2240.5251500595591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33203125" bestFit="1" customWidth="1"/>
    <col min="3" max="3" width="27.1640625" bestFit="1" customWidth="1"/>
    <col min="4" max="4" width="12" bestFit="1" customWidth="1"/>
    <col min="5" max="6" width="12.6640625" bestFit="1" customWidth="1"/>
    <col min="7" max="8" width="12" bestFit="1" customWidth="1"/>
  </cols>
  <sheetData>
    <row r="1" spans="1:8" x14ac:dyDescent="0.2">
      <c r="A1" s="6" t="s">
        <v>486</v>
      </c>
    </row>
    <row r="2" spans="1:8" x14ac:dyDescent="0.2">
      <c r="A2" s="6" t="s">
        <v>507</v>
      </c>
    </row>
    <row r="3" spans="1:8" x14ac:dyDescent="0.2">
      <c r="A3" s="6" t="s">
        <v>515</v>
      </c>
    </row>
    <row r="6" spans="1:8" ht="16" thickBot="1" x14ac:dyDescent="0.25">
      <c r="A6" t="s">
        <v>397</v>
      </c>
    </row>
    <row r="7" spans="1:8" x14ac:dyDescent="0.2">
      <c r="B7" s="13"/>
      <c r="C7" s="13"/>
      <c r="D7" s="13" t="s">
        <v>488</v>
      </c>
      <c r="E7" s="13" t="s">
        <v>490</v>
      </c>
      <c r="F7" s="13" t="s">
        <v>492</v>
      </c>
      <c r="G7" s="13" t="s">
        <v>494</v>
      </c>
      <c r="H7" s="13" t="s">
        <v>494</v>
      </c>
    </row>
    <row r="8" spans="1:8" ht="16" thickBot="1" x14ac:dyDescent="0.25">
      <c r="B8" s="14" t="s">
        <v>393</v>
      </c>
      <c r="C8" s="14" t="s">
        <v>394</v>
      </c>
      <c r="D8" s="14" t="s">
        <v>489</v>
      </c>
      <c r="E8" s="14" t="s">
        <v>491</v>
      </c>
      <c r="F8" s="14" t="s">
        <v>493</v>
      </c>
      <c r="G8" s="14" t="s">
        <v>495</v>
      </c>
      <c r="H8" s="14" t="s">
        <v>496</v>
      </c>
    </row>
    <row r="9" spans="1:8" x14ac:dyDescent="0.2">
      <c r="B9" s="9" t="s">
        <v>406</v>
      </c>
      <c r="C9" s="9" t="s">
        <v>407</v>
      </c>
      <c r="D9" s="9">
        <v>0</v>
      </c>
      <c r="E9" s="9">
        <v>-1.2772501876898181E-3</v>
      </c>
      <c r="F9" s="9">
        <v>6.6666666666677088E-3</v>
      </c>
      <c r="G9" s="9">
        <v>1.2772501876898181E-3</v>
      </c>
      <c r="H9" s="9">
        <v>1E+30</v>
      </c>
    </row>
    <row r="10" spans="1:8" x14ac:dyDescent="0.2">
      <c r="B10" s="9" t="s">
        <v>409</v>
      </c>
      <c r="C10" s="9" t="s">
        <v>410</v>
      </c>
      <c r="D10" s="9">
        <v>701.87026642905892</v>
      </c>
      <c r="E10" s="9">
        <v>0</v>
      </c>
      <c r="F10" s="9">
        <v>7.5000000000002842E-3</v>
      </c>
      <c r="G10" s="9">
        <v>0</v>
      </c>
      <c r="H10" s="9">
        <v>1.260636075662794E-3</v>
      </c>
    </row>
    <row r="11" spans="1:8" x14ac:dyDescent="0.2">
      <c r="B11" s="9" t="s">
        <v>411</v>
      </c>
      <c r="C11" s="9" t="s">
        <v>412</v>
      </c>
      <c r="D11" s="9">
        <v>174.00768128427416</v>
      </c>
      <c r="E11" s="9">
        <v>0</v>
      </c>
      <c r="F11" s="9">
        <v>8.3333333333328596E-3</v>
      </c>
      <c r="G11" s="9">
        <v>0</v>
      </c>
      <c r="H11" s="9">
        <v>1.2609513134912305E-3</v>
      </c>
    </row>
    <row r="12" spans="1:8" x14ac:dyDescent="0.2">
      <c r="B12" s="9" t="s">
        <v>413</v>
      </c>
      <c r="C12" s="9" t="s">
        <v>414</v>
      </c>
      <c r="D12" s="9">
        <v>0</v>
      </c>
      <c r="E12" s="9">
        <v>0</v>
      </c>
      <c r="F12" s="9">
        <v>7.9166666666665719E-3</v>
      </c>
      <c r="G12" s="9">
        <v>0</v>
      </c>
      <c r="H12" s="9">
        <v>1E+30</v>
      </c>
    </row>
    <row r="13" spans="1:8" x14ac:dyDescent="0.2">
      <c r="B13" s="9" t="s">
        <v>415</v>
      </c>
      <c r="C13" s="9" t="s">
        <v>416</v>
      </c>
      <c r="D13" s="9">
        <v>0</v>
      </c>
      <c r="E13" s="9">
        <v>-4.1666666666628771E-4</v>
      </c>
      <c r="F13" s="9">
        <v>7.5000000000002842E-3</v>
      </c>
      <c r="G13" s="9">
        <v>4.1666666666628771E-4</v>
      </c>
      <c r="H13" s="9">
        <v>1E+30</v>
      </c>
    </row>
    <row r="14" spans="1:8" x14ac:dyDescent="0.2">
      <c r="B14" s="9" t="s">
        <v>417</v>
      </c>
      <c r="C14" s="9" t="s">
        <v>418</v>
      </c>
      <c r="D14" s="9">
        <v>129.47484994044103</v>
      </c>
      <c r="E14" s="9">
        <v>0</v>
      </c>
      <c r="F14" s="9">
        <v>0</v>
      </c>
      <c r="G14" s="9">
        <v>0</v>
      </c>
      <c r="H14" s="9">
        <v>8.3567992089661535E-4</v>
      </c>
    </row>
    <row r="15" spans="1:8" x14ac:dyDescent="0.2">
      <c r="B15" s="9" t="s">
        <v>419</v>
      </c>
      <c r="C15" s="9" t="s">
        <v>420</v>
      </c>
      <c r="D15" s="9">
        <v>1480</v>
      </c>
      <c r="E15" s="9">
        <v>0</v>
      </c>
      <c r="F15" s="9">
        <v>2.3749999999999716E-2</v>
      </c>
      <c r="G15" s="9">
        <v>1E+30</v>
      </c>
      <c r="H15" s="9">
        <v>1.2772501876898181E-3</v>
      </c>
    </row>
    <row r="16" spans="1:8" x14ac:dyDescent="0.2">
      <c r="B16" s="9" t="s">
        <v>421</v>
      </c>
      <c r="C16" s="9" t="s">
        <v>422</v>
      </c>
      <c r="D16" s="9">
        <v>0</v>
      </c>
      <c r="E16" s="9">
        <v>-1.2660120427671632E-3</v>
      </c>
      <c r="F16" s="9">
        <v>2.2500000000000853E-2</v>
      </c>
      <c r="G16" s="9">
        <v>1.2660120427671632E-3</v>
      </c>
      <c r="H16" s="9">
        <v>1E+30</v>
      </c>
    </row>
    <row r="17" spans="1:8" x14ac:dyDescent="0.2">
      <c r="B17" s="9" t="s">
        <v>423</v>
      </c>
      <c r="C17" s="9" t="s">
        <v>424</v>
      </c>
      <c r="D17" s="9">
        <v>0</v>
      </c>
      <c r="E17" s="9">
        <v>-4.2275698410936685E-4</v>
      </c>
      <c r="F17" s="9">
        <v>2.3749999999999716E-2</v>
      </c>
      <c r="G17" s="9">
        <v>4.2275698410936685E-4</v>
      </c>
      <c r="H17" s="9">
        <v>1E+30</v>
      </c>
    </row>
    <row r="18" spans="1:8" x14ac:dyDescent="0.2">
      <c r="B18" s="9" t="s">
        <v>425</v>
      </c>
      <c r="C18" s="9" t="s">
        <v>426</v>
      </c>
      <c r="D18" s="9">
        <v>0</v>
      </c>
      <c r="E18" s="9">
        <v>-8.3609914765835178E-4</v>
      </c>
      <c r="F18" s="9">
        <v>1.5000000000000568E-2</v>
      </c>
      <c r="G18" s="9">
        <v>8.3609914765835178E-4</v>
      </c>
      <c r="H18" s="9">
        <v>1E+30</v>
      </c>
    </row>
    <row r="19" spans="1:8" x14ac:dyDescent="0.2">
      <c r="B19" s="9" t="s">
        <v>427</v>
      </c>
      <c r="C19" s="9" t="s">
        <v>428</v>
      </c>
      <c r="D19" s="9">
        <v>0</v>
      </c>
      <c r="E19" s="9">
        <v>-7.6171109722990953E-3</v>
      </c>
      <c r="F19" s="9">
        <v>-7.5000000000002842E-3</v>
      </c>
      <c r="G19" s="9">
        <v>7.6171109722990953E-3</v>
      </c>
      <c r="H19" s="9">
        <v>1E+30</v>
      </c>
    </row>
    <row r="20" spans="1:8" x14ac:dyDescent="0.2">
      <c r="B20" s="9" t="s">
        <v>429</v>
      </c>
      <c r="C20" s="9" t="s">
        <v>430</v>
      </c>
      <c r="D20" s="9">
        <v>0</v>
      </c>
      <c r="E20" s="9">
        <v>-8.4551396821506541E-4</v>
      </c>
      <c r="F20" s="9">
        <v>-8.3333333333328596E-3</v>
      </c>
      <c r="G20" s="9">
        <v>8.4551396821506541E-4</v>
      </c>
      <c r="H20" s="9">
        <v>1E+30</v>
      </c>
    </row>
    <row r="21" spans="1:8" x14ac:dyDescent="0.2">
      <c r="B21" s="9" t="s">
        <v>431</v>
      </c>
      <c r="C21" s="9" t="s">
        <v>432</v>
      </c>
      <c r="D21" s="9">
        <v>0</v>
      </c>
      <c r="E21" s="9">
        <v>-1.2698693426905251E-3</v>
      </c>
      <c r="F21" s="9">
        <v>-9.5833333333388282E-3</v>
      </c>
      <c r="G21" s="9">
        <v>1.2698693426905251E-3</v>
      </c>
      <c r="H21" s="9">
        <v>1E+30</v>
      </c>
    </row>
    <row r="22" spans="1:8" x14ac:dyDescent="0.2">
      <c r="B22" s="9" t="s">
        <v>433</v>
      </c>
      <c r="C22" s="9" t="s">
        <v>434</v>
      </c>
      <c r="D22" s="9">
        <v>0</v>
      </c>
      <c r="E22" s="9">
        <v>-1.2604286301175207E-3</v>
      </c>
      <c r="F22" s="9">
        <v>-9.1666666666654351E-3</v>
      </c>
      <c r="G22" s="9">
        <v>1.2604286301175207E-3</v>
      </c>
      <c r="H22" s="9">
        <v>1E+30</v>
      </c>
    </row>
    <row r="23" spans="1:8" x14ac:dyDescent="0.2">
      <c r="B23" s="9" t="s">
        <v>435</v>
      </c>
      <c r="C23" s="9" t="s">
        <v>436</v>
      </c>
      <c r="D23" s="9">
        <v>313.87644922406497</v>
      </c>
      <c r="E23" s="9">
        <v>0</v>
      </c>
      <c r="F23" s="9">
        <v>-7.9166666666665719E-3</v>
      </c>
      <c r="G23" s="9">
        <v>4.1666666666628771E-4</v>
      </c>
      <c r="H23" s="9">
        <v>0</v>
      </c>
    </row>
    <row r="24" spans="1:8" x14ac:dyDescent="0.2">
      <c r="B24" s="9" t="s">
        <v>437</v>
      </c>
      <c r="C24" s="9" t="s">
        <v>438</v>
      </c>
      <c r="D24" s="9">
        <v>1458.75</v>
      </c>
      <c r="E24" s="9">
        <v>0</v>
      </c>
      <c r="F24" s="9">
        <v>-1.5833333333333144E-2</v>
      </c>
      <c r="G24" s="9">
        <v>1E+30</v>
      </c>
      <c r="H24" s="9">
        <v>7.6171109722990953E-3</v>
      </c>
    </row>
    <row r="25" spans="1:8" x14ac:dyDescent="0.2">
      <c r="B25" s="9" t="s">
        <v>439</v>
      </c>
      <c r="C25" s="9" t="s">
        <v>440</v>
      </c>
      <c r="D25" s="9">
        <v>590.45203726239174</v>
      </c>
      <c r="E25" s="9">
        <v>0</v>
      </c>
      <c r="F25" s="9">
        <v>-2.3749999999999716E-2</v>
      </c>
      <c r="G25" s="9">
        <v>0</v>
      </c>
      <c r="H25" s="9">
        <v>1.2606360756627936E-3</v>
      </c>
    </row>
    <row r="26" spans="1:8" x14ac:dyDescent="0.2">
      <c r="B26" s="9" t="s">
        <v>441</v>
      </c>
      <c r="C26" s="9" t="s">
        <v>442</v>
      </c>
      <c r="D26" s="9">
        <v>0</v>
      </c>
      <c r="E26" s="9">
        <v>-1.2746986498089545E-2</v>
      </c>
      <c r="F26" s="9">
        <v>-3.666666666666174E-2</v>
      </c>
      <c r="G26" s="9">
        <v>1.2746986498089545E-2</v>
      </c>
      <c r="H26" s="9">
        <v>1E+30</v>
      </c>
    </row>
    <row r="27" spans="1:8" x14ac:dyDescent="0.2">
      <c r="B27" s="9" t="s">
        <v>443</v>
      </c>
      <c r="C27" s="9" t="s">
        <v>444</v>
      </c>
      <c r="D27" s="9">
        <v>0</v>
      </c>
      <c r="E27" s="9">
        <v>-2.5104286301234893E-3</v>
      </c>
      <c r="F27" s="9">
        <v>-1.8333333333337976E-2</v>
      </c>
      <c r="G27" s="9">
        <v>2.5104286301234893E-3</v>
      </c>
      <c r="H27" s="9">
        <v>1E+30</v>
      </c>
    </row>
    <row r="28" spans="1:8" ht="16" thickBot="1" x14ac:dyDescent="0.25">
      <c r="B28" s="7" t="s">
        <v>445</v>
      </c>
      <c r="C28" s="7" t="s">
        <v>446</v>
      </c>
      <c r="D28" s="7">
        <v>0</v>
      </c>
      <c r="E28" s="7">
        <v>-1.0151645004715248E-2</v>
      </c>
      <c r="F28" s="7">
        <v>-4.1666666666664298E-2</v>
      </c>
      <c r="G28" s="7">
        <v>1.0151645004715248E-2</v>
      </c>
      <c r="H28" s="7">
        <v>1E+30</v>
      </c>
    </row>
    <row r="30" spans="1:8" ht="16" thickBot="1" x14ac:dyDescent="0.25">
      <c r="A30" t="s">
        <v>399</v>
      </c>
    </row>
    <row r="31" spans="1:8" x14ac:dyDescent="0.2">
      <c r="B31" s="13"/>
      <c r="C31" s="13"/>
      <c r="D31" s="13" t="s">
        <v>488</v>
      </c>
      <c r="E31" s="13" t="s">
        <v>497</v>
      </c>
      <c r="F31" s="13" t="s">
        <v>499</v>
      </c>
      <c r="G31" s="13" t="s">
        <v>494</v>
      </c>
      <c r="H31" s="13" t="s">
        <v>494</v>
      </c>
    </row>
    <row r="32" spans="1:8" ht="16" thickBot="1" x14ac:dyDescent="0.25">
      <c r="B32" s="14" t="s">
        <v>393</v>
      </c>
      <c r="C32" s="14" t="s">
        <v>394</v>
      </c>
      <c r="D32" s="14" t="s">
        <v>489</v>
      </c>
      <c r="E32" s="14" t="s">
        <v>498</v>
      </c>
      <c r="F32" s="14" t="s">
        <v>500</v>
      </c>
      <c r="G32" s="14" t="s">
        <v>495</v>
      </c>
      <c r="H32" s="14" t="s">
        <v>496</v>
      </c>
    </row>
    <row r="33" spans="2:8" x14ac:dyDescent="0.2">
      <c r="B33" s="9" t="s">
        <v>447</v>
      </c>
      <c r="C33" s="9" t="s">
        <v>354</v>
      </c>
      <c r="D33" s="9">
        <v>0</v>
      </c>
      <c r="E33" s="9">
        <v>0</v>
      </c>
      <c r="F33" s="9">
        <v>0</v>
      </c>
      <c r="G33" s="9">
        <v>1E+30</v>
      </c>
      <c r="H33" s="9">
        <v>1480</v>
      </c>
    </row>
    <row r="34" spans="2:8" x14ac:dyDescent="0.2">
      <c r="B34" s="9" t="s">
        <v>450</v>
      </c>
      <c r="C34" s="9" t="s">
        <v>354</v>
      </c>
      <c r="D34" s="9">
        <v>0</v>
      </c>
      <c r="E34" s="9">
        <v>0</v>
      </c>
      <c r="F34" s="9">
        <v>0</v>
      </c>
      <c r="G34" s="9">
        <v>1E+30</v>
      </c>
      <c r="H34" s="9">
        <v>701.87026642905892</v>
      </c>
    </row>
    <row r="35" spans="2:8" x14ac:dyDescent="0.2">
      <c r="B35" s="9" t="s">
        <v>453</v>
      </c>
      <c r="C35" s="9" t="s">
        <v>354</v>
      </c>
      <c r="D35" s="9">
        <v>0</v>
      </c>
      <c r="E35" s="9">
        <v>0</v>
      </c>
      <c r="F35" s="9">
        <v>0</v>
      </c>
      <c r="G35" s="9">
        <v>1E+30</v>
      </c>
      <c r="H35" s="9">
        <v>174.00768128427416</v>
      </c>
    </row>
    <row r="36" spans="2:8" x14ac:dyDescent="0.2">
      <c r="B36" s="9" t="s">
        <v>455</v>
      </c>
      <c r="C36" s="9" t="s">
        <v>354</v>
      </c>
      <c r="D36" s="9">
        <v>0</v>
      </c>
      <c r="E36" s="9">
        <v>0</v>
      </c>
      <c r="F36" s="9">
        <v>0</v>
      </c>
      <c r="G36" s="9">
        <v>1E+30</v>
      </c>
      <c r="H36" s="9">
        <v>0</v>
      </c>
    </row>
    <row r="37" spans="2:8" x14ac:dyDescent="0.2">
      <c r="B37" s="9" t="s">
        <v>457</v>
      </c>
      <c r="C37" s="9" t="s">
        <v>354</v>
      </c>
      <c r="D37" s="9">
        <v>0</v>
      </c>
      <c r="E37" s="9">
        <v>0</v>
      </c>
      <c r="F37" s="9">
        <v>0</v>
      </c>
      <c r="G37" s="9">
        <v>1E+30</v>
      </c>
      <c r="H37" s="9">
        <v>0</v>
      </c>
    </row>
    <row r="38" spans="2:8" x14ac:dyDescent="0.2">
      <c r="B38" s="9" t="s">
        <v>459</v>
      </c>
      <c r="C38" s="9" t="s">
        <v>354</v>
      </c>
      <c r="D38" s="9">
        <v>0</v>
      </c>
      <c r="E38" s="9">
        <v>0</v>
      </c>
      <c r="F38" s="9">
        <v>0</v>
      </c>
      <c r="G38" s="9">
        <v>1E+30</v>
      </c>
      <c r="H38" s="9">
        <v>129.47484994044103</v>
      </c>
    </row>
    <row r="39" spans="2:8" x14ac:dyDescent="0.2">
      <c r="B39" s="9" t="s">
        <v>461</v>
      </c>
      <c r="C39" s="9" t="s">
        <v>354</v>
      </c>
      <c r="D39" s="9">
        <v>250</v>
      </c>
      <c r="E39" s="9">
        <v>3.2020482414003591E-2</v>
      </c>
      <c r="F39" s="9">
        <v>0</v>
      </c>
      <c r="G39" s="9">
        <v>174.06669636420099</v>
      </c>
      <c r="H39" s="9">
        <v>127.43015376210676</v>
      </c>
    </row>
    <row r="40" spans="2:8" x14ac:dyDescent="0.2">
      <c r="B40" s="9" t="s">
        <v>463</v>
      </c>
      <c r="C40" s="9" t="s">
        <v>354</v>
      </c>
      <c r="D40" s="9">
        <v>250</v>
      </c>
      <c r="E40" s="9">
        <v>3.197089547949581E-2</v>
      </c>
      <c r="F40" s="9">
        <v>0</v>
      </c>
      <c r="G40" s="9">
        <v>307.50452485009976</v>
      </c>
      <c r="H40" s="9">
        <v>127.03793992095396</v>
      </c>
    </row>
    <row r="41" spans="2:8" x14ac:dyDescent="0.2">
      <c r="B41" s="9" t="s">
        <v>465</v>
      </c>
      <c r="C41" s="9" t="s">
        <v>354</v>
      </c>
      <c r="D41" s="9">
        <v>250</v>
      </c>
      <c r="E41" s="9">
        <v>2.436126976555588E-2</v>
      </c>
      <c r="F41" s="9">
        <v>0</v>
      </c>
      <c r="G41" s="9">
        <v>308.88829521185761</v>
      </c>
      <c r="H41" s="9">
        <v>127.6096106505703</v>
      </c>
    </row>
    <row r="42" spans="2:8" x14ac:dyDescent="0.2">
      <c r="B42" s="9" t="s">
        <v>467</v>
      </c>
      <c r="C42" s="9" t="s">
        <v>354</v>
      </c>
      <c r="D42" s="9">
        <v>250</v>
      </c>
      <c r="E42" s="9">
        <v>1.5895474147659312E-2</v>
      </c>
      <c r="F42" s="9">
        <v>0</v>
      </c>
      <c r="G42" s="9">
        <v>174.07984000848262</v>
      </c>
      <c r="H42" s="9">
        <v>128.25167720873227</v>
      </c>
    </row>
    <row r="43" spans="2:8" x14ac:dyDescent="0.2">
      <c r="B43" s="9" t="s">
        <v>469</v>
      </c>
      <c r="C43" s="9" t="s">
        <v>354</v>
      </c>
      <c r="D43" s="9">
        <v>250</v>
      </c>
      <c r="E43" s="9">
        <v>7.9166666666665719E-3</v>
      </c>
      <c r="F43" s="9">
        <v>0</v>
      </c>
      <c r="G43" s="9">
        <v>313.87644922406497</v>
      </c>
      <c r="H43" s="9">
        <v>128.86275186905553</v>
      </c>
    </row>
    <row r="44" spans="2:8" x14ac:dyDescent="0.2">
      <c r="B44" s="9" t="s">
        <v>471</v>
      </c>
      <c r="C44" s="9" t="s">
        <v>354</v>
      </c>
      <c r="D44" s="9">
        <v>250</v>
      </c>
      <c r="E44" s="9">
        <v>0</v>
      </c>
      <c r="F44" s="9">
        <v>0</v>
      </c>
      <c r="G44" s="9">
        <v>2240.5251500595591</v>
      </c>
      <c r="H44" s="9">
        <v>129.47484994044103</v>
      </c>
    </row>
    <row r="45" spans="2:8" x14ac:dyDescent="0.2">
      <c r="B45" s="9" t="s">
        <v>473</v>
      </c>
      <c r="C45" s="9" t="s">
        <v>474</v>
      </c>
      <c r="D45" s="9">
        <v>1480</v>
      </c>
      <c r="E45" s="9">
        <v>8.0425058370025421E-3</v>
      </c>
      <c r="F45" s="9">
        <v>1480</v>
      </c>
      <c r="G45" s="9">
        <v>21989.032422065477</v>
      </c>
      <c r="H45" s="9">
        <v>1458.75</v>
      </c>
    </row>
    <row r="46" spans="2:8" x14ac:dyDescent="0.2">
      <c r="B46" s="9" t="s">
        <v>476</v>
      </c>
      <c r="C46" s="9" t="s">
        <v>474</v>
      </c>
      <c r="D46" s="9">
        <v>701.87026642905892</v>
      </c>
      <c r="E46" s="9">
        <v>0</v>
      </c>
      <c r="F46" s="9">
        <v>1570</v>
      </c>
      <c r="G46" s="9">
        <v>1E+30</v>
      </c>
      <c r="H46" s="9">
        <v>868.12973357094097</v>
      </c>
    </row>
    <row r="47" spans="2:8" x14ac:dyDescent="0.2">
      <c r="B47" s="9" t="s">
        <v>478</v>
      </c>
      <c r="C47" s="9" t="s">
        <v>474</v>
      </c>
      <c r="D47" s="9">
        <v>174.00768128427416</v>
      </c>
      <c r="E47" s="9">
        <v>0</v>
      </c>
      <c r="F47" s="9">
        <v>1640</v>
      </c>
      <c r="G47" s="9">
        <v>1E+30</v>
      </c>
      <c r="H47" s="9">
        <v>1465.9923187157258</v>
      </c>
    </row>
    <row r="48" spans="2:8" x14ac:dyDescent="0.2">
      <c r="B48" s="9" t="s">
        <v>480</v>
      </c>
      <c r="C48" s="9" t="s">
        <v>474</v>
      </c>
      <c r="D48" s="9">
        <v>0</v>
      </c>
      <c r="E48" s="9">
        <v>0</v>
      </c>
      <c r="F48" s="9">
        <v>1930</v>
      </c>
      <c r="G48" s="9">
        <v>1E+30</v>
      </c>
      <c r="H48" s="9">
        <v>1930</v>
      </c>
    </row>
    <row r="49" spans="2:8" x14ac:dyDescent="0.2">
      <c r="B49" s="9" t="s">
        <v>482</v>
      </c>
      <c r="C49" s="9" t="s">
        <v>474</v>
      </c>
      <c r="D49" s="9">
        <v>0</v>
      </c>
      <c r="E49" s="9">
        <v>0</v>
      </c>
      <c r="F49" s="9">
        <v>2340</v>
      </c>
      <c r="G49" s="9">
        <v>1E+30</v>
      </c>
      <c r="H49" s="9">
        <v>2340</v>
      </c>
    </row>
    <row r="50" spans="2:8" ht="16" thickBot="1" x14ac:dyDescent="0.25">
      <c r="B50" s="7" t="s">
        <v>484</v>
      </c>
      <c r="C50" s="7" t="s">
        <v>474</v>
      </c>
      <c r="D50" s="7">
        <v>129.47484994044103</v>
      </c>
      <c r="E50" s="7">
        <v>0</v>
      </c>
      <c r="F50" s="7">
        <v>2370</v>
      </c>
      <c r="G50" s="7">
        <v>1E+30</v>
      </c>
      <c r="H50" s="7">
        <v>2240.5251500595591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2"/>
  <sheetViews>
    <sheetView showGridLines="0" workbookViewId="0"/>
  </sheetViews>
  <sheetFormatPr baseColWidth="10" defaultColWidth="8.83203125" defaultRowHeight="15" x14ac:dyDescent="0.2"/>
  <cols>
    <col min="1" max="1" width="2.33203125" customWidth="1"/>
    <col min="2" max="2" width="7.1640625" bestFit="1" customWidth="1"/>
    <col min="3" max="3" width="27.1640625" bestFit="1" customWidth="1"/>
    <col min="4" max="4" width="12" bestFit="1" customWidth="1"/>
    <col min="5" max="5" width="2.33203125" customWidth="1"/>
    <col min="6" max="6" width="12.6640625" bestFit="1" customWidth="1"/>
    <col min="7" max="7" width="11.6640625" bestFit="1" customWidth="1"/>
    <col min="8" max="8" width="2.33203125" customWidth="1"/>
    <col min="9" max="9" width="12.6640625" bestFit="1" customWidth="1"/>
    <col min="10" max="10" width="11.6640625" bestFit="1" customWidth="1"/>
  </cols>
  <sheetData>
    <row r="1" spans="1:10" x14ac:dyDescent="0.2">
      <c r="A1" s="6" t="s">
        <v>501</v>
      </c>
    </row>
    <row r="2" spans="1:10" x14ac:dyDescent="0.2">
      <c r="A2" s="6" t="s">
        <v>507</v>
      </c>
    </row>
    <row r="3" spans="1:10" x14ac:dyDescent="0.2">
      <c r="A3" s="6" t="s">
        <v>515</v>
      </c>
    </row>
    <row r="5" spans="1:10" ht="16" thickBot="1" x14ac:dyDescent="0.25"/>
    <row r="6" spans="1:10" x14ac:dyDescent="0.2">
      <c r="B6" s="13"/>
      <c r="C6" s="13" t="s">
        <v>492</v>
      </c>
      <c r="D6" s="13"/>
    </row>
    <row r="7" spans="1:10" ht="16" thickBot="1" x14ac:dyDescent="0.25">
      <c r="B7" s="14" t="s">
        <v>393</v>
      </c>
      <c r="C7" s="14" t="s">
        <v>394</v>
      </c>
      <c r="D7" s="14" t="s">
        <v>489</v>
      </c>
    </row>
    <row r="8" spans="1:10" ht="16" thickBot="1" x14ac:dyDescent="0.25">
      <c r="B8" s="7" t="s">
        <v>404</v>
      </c>
      <c r="C8" s="7" t="s">
        <v>405</v>
      </c>
      <c r="D8" s="7">
        <v>-50.240875099085429</v>
      </c>
    </row>
    <row r="10" spans="1:10" ht="16" thickBot="1" x14ac:dyDescent="0.25"/>
    <row r="11" spans="1:10" x14ac:dyDescent="0.2">
      <c r="B11" s="13"/>
      <c r="C11" s="13" t="s">
        <v>502</v>
      </c>
      <c r="D11" s="13"/>
      <c r="F11" s="13" t="s">
        <v>503</v>
      </c>
      <c r="G11" s="13" t="s">
        <v>492</v>
      </c>
      <c r="I11" s="13" t="s">
        <v>506</v>
      </c>
      <c r="J11" s="13" t="s">
        <v>492</v>
      </c>
    </row>
    <row r="12" spans="1:10" ht="16" thickBot="1" x14ac:dyDescent="0.25">
      <c r="B12" s="14" t="s">
        <v>393</v>
      </c>
      <c r="C12" s="14" t="s">
        <v>394</v>
      </c>
      <c r="D12" s="14" t="s">
        <v>489</v>
      </c>
      <c r="F12" s="14" t="s">
        <v>504</v>
      </c>
      <c r="G12" s="14" t="s">
        <v>505</v>
      </c>
      <c r="I12" s="14" t="s">
        <v>504</v>
      </c>
      <c r="J12" s="14" t="s">
        <v>505</v>
      </c>
    </row>
    <row r="13" spans="1:10" x14ac:dyDescent="0.2">
      <c r="B13" s="9" t="s">
        <v>406</v>
      </c>
      <c r="C13" s="9" t="s">
        <v>407</v>
      </c>
      <c r="D13" s="9">
        <v>0</v>
      </c>
      <c r="F13" s="9">
        <v>0</v>
      </c>
      <c r="G13" s="9">
        <v>-50.240875099085429</v>
      </c>
      <c r="I13" s="9">
        <v>0</v>
      </c>
      <c r="J13" s="9">
        <v>-50.240875099085429</v>
      </c>
    </row>
    <row r="14" spans="1:10" x14ac:dyDescent="0.2">
      <c r="B14" s="9" t="s">
        <v>409</v>
      </c>
      <c r="C14" s="9" t="s">
        <v>410</v>
      </c>
      <c r="D14" s="9">
        <v>701.87026642905892</v>
      </c>
      <c r="F14" s="9">
        <v>701.87026642905835</v>
      </c>
      <c r="G14" s="9">
        <v>-50.240875099085436</v>
      </c>
      <c r="I14" s="9">
        <v>701.87026642905835</v>
      </c>
      <c r="J14" s="9">
        <v>-50.240875099085436</v>
      </c>
    </row>
    <row r="15" spans="1:10" x14ac:dyDescent="0.2">
      <c r="B15" s="9" t="s">
        <v>411</v>
      </c>
      <c r="C15" s="9" t="s">
        <v>412</v>
      </c>
      <c r="D15" s="9">
        <v>174.00768128427416</v>
      </c>
      <c r="F15" s="9">
        <v>174.00768128431235</v>
      </c>
      <c r="G15" s="9">
        <v>-50.240875099085109</v>
      </c>
      <c r="I15" s="9">
        <v>174.00768128431235</v>
      </c>
      <c r="J15" s="9">
        <v>-50.240875099085109</v>
      </c>
    </row>
    <row r="16" spans="1:10" x14ac:dyDescent="0.2">
      <c r="B16" s="9" t="s">
        <v>413</v>
      </c>
      <c r="C16" s="9" t="s">
        <v>414</v>
      </c>
      <c r="D16" s="9">
        <v>0</v>
      </c>
      <c r="F16" s="9">
        <v>-1.7564616427989677E-11</v>
      </c>
      <c r="G16" s="9">
        <v>-50.240875099085564</v>
      </c>
      <c r="I16" s="9">
        <v>-1.7564616427989677E-11</v>
      </c>
      <c r="J16" s="9">
        <v>-50.240875099085564</v>
      </c>
    </row>
    <row r="17" spans="2:10" x14ac:dyDescent="0.2">
      <c r="B17" s="9" t="s">
        <v>415</v>
      </c>
      <c r="C17" s="9" t="s">
        <v>416</v>
      </c>
      <c r="D17" s="9">
        <v>0</v>
      </c>
      <c r="F17" s="9">
        <v>1.2732925824820995E-11</v>
      </c>
      <c r="G17" s="9">
        <v>-50.240875099085329</v>
      </c>
      <c r="I17" s="9">
        <v>1.2732925824820995E-11</v>
      </c>
      <c r="J17" s="9">
        <v>-50.240875099085329</v>
      </c>
    </row>
    <row r="18" spans="2:10" x14ac:dyDescent="0.2">
      <c r="B18" s="9" t="s">
        <v>417</v>
      </c>
      <c r="C18" s="9" t="s">
        <v>418</v>
      </c>
      <c r="D18" s="9">
        <v>129.47484994044103</v>
      </c>
      <c r="F18" s="9">
        <v>129.47484994050154</v>
      </c>
      <c r="G18" s="9">
        <v>-50.240875099085429</v>
      </c>
      <c r="I18" s="9">
        <v>129.47484994050154</v>
      </c>
      <c r="J18" s="9">
        <v>-50.240875099085429</v>
      </c>
    </row>
    <row r="19" spans="2:10" x14ac:dyDescent="0.2">
      <c r="B19" s="9" t="s">
        <v>419</v>
      </c>
      <c r="C19" s="9" t="s">
        <v>420</v>
      </c>
      <c r="D19" s="9">
        <v>1480</v>
      </c>
      <c r="F19" s="9">
        <v>1479.9999998778646</v>
      </c>
      <c r="G19" s="9">
        <v>-50.240875101986148</v>
      </c>
      <c r="I19" s="9">
        <v>1479.9999998778646</v>
      </c>
      <c r="J19" s="9">
        <v>-50.240875101986148</v>
      </c>
    </row>
    <row r="20" spans="2:10" x14ac:dyDescent="0.2">
      <c r="B20" s="9" t="s">
        <v>421</v>
      </c>
      <c r="C20" s="9" t="s">
        <v>422</v>
      </c>
      <c r="D20" s="9">
        <v>0</v>
      </c>
      <c r="F20" s="9">
        <v>-5.1159076974727213E-13</v>
      </c>
      <c r="G20" s="9">
        <v>-50.240875099085443</v>
      </c>
      <c r="I20" s="9">
        <v>-5.1159076974727213E-13</v>
      </c>
      <c r="J20" s="9">
        <v>-50.240875099085443</v>
      </c>
    </row>
    <row r="21" spans="2:10" x14ac:dyDescent="0.2">
      <c r="B21" s="9" t="s">
        <v>423</v>
      </c>
      <c r="C21" s="9" t="s">
        <v>424</v>
      </c>
      <c r="D21" s="9">
        <v>0</v>
      </c>
      <c r="F21" s="9">
        <v>5.240963218966499E-11</v>
      </c>
      <c r="G21" s="9">
        <v>-50.240875099084178</v>
      </c>
      <c r="I21" s="9">
        <v>5.240963218966499E-11</v>
      </c>
      <c r="J21" s="9">
        <v>-50.240875099084178</v>
      </c>
    </row>
    <row r="22" spans="2:10" x14ac:dyDescent="0.2">
      <c r="B22" s="9" t="s">
        <v>425</v>
      </c>
      <c r="C22" s="9" t="s">
        <v>426</v>
      </c>
      <c r="D22" s="9">
        <v>0</v>
      </c>
      <c r="F22" s="9">
        <v>-1.7564616427989677E-11</v>
      </c>
      <c r="G22" s="9">
        <v>-50.240875099085692</v>
      </c>
      <c r="I22" s="9">
        <v>-1.7564616427989677E-11</v>
      </c>
      <c r="J22" s="9">
        <v>-50.240875099085692</v>
      </c>
    </row>
    <row r="23" spans="2:10" x14ac:dyDescent="0.2">
      <c r="B23" s="9" t="s">
        <v>427</v>
      </c>
      <c r="C23" s="9" t="s">
        <v>428</v>
      </c>
      <c r="D23" s="9">
        <v>0</v>
      </c>
      <c r="F23" s="9">
        <v>0</v>
      </c>
      <c r="G23" s="9">
        <v>-50.240875099085429</v>
      </c>
      <c r="I23" s="9">
        <v>0</v>
      </c>
      <c r="J23" s="9">
        <v>-50.240875099085429</v>
      </c>
    </row>
    <row r="24" spans="2:10" x14ac:dyDescent="0.2">
      <c r="B24" s="9" t="s">
        <v>429</v>
      </c>
      <c r="C24" s="9" t="s">
        <v>430</v>
      </c>
      <c r="D24" s="9">
        <v>0</v>
      </c>
      <c r="F24" s="9">
        <v>5.1159076974727213E-13</v>
      </c>
      <c r="G24" s="9">
        <v>-50.240875099085436</v>
      </c>
      <c r="I24" s="9">
        <v>5.1159076974727213E-13</v>
      </c>
      <c r="J24" s="9">
        <v>-50.240875099085436</v>
      </c>
    </row>
    <row r="25" spans="2:10" x14ac:dyDescent="0.2">
      <c r="B25" s="9" t="s">
        <v>431</v>
      </c>
      <c r="C25" s="9" t="s">
        <v>432</v>
      </c>
      <c r="D25" s="9">
        <v>0</v>
      </c>
      <c r="F25" s="9">
        <v>-5.240963218966499E-11</v>
      </c>
      <c r="G25" s="9">
        <v>-50.240875099084924</v>
      </c>
      <c r="I25" s="9">
        <v>-5.240963218966499E-11</v>
      </c>
      <c r="J25" s="9">
        <v>-50.240875099084924</v>
      </c>
    </row>
    <row r="26" spans="2:10" x14ac:dyDescent="0.2">
      <c r="B26" s="9" t="s">
        <v>433</v>
      </c>
      <c r="C26" s="9" t="s">
        <v>434</v>
      </c>
      <c r="D26" s="9">
        <v>0</v>
      </c>
      <c r="F26" s="9">
        <v>1.2617267539045796E-11</v>
      </c>
      <c r="G26" s="9">
        <v>-50.240875099085542</v>
      </c>
      <c r="I26" s="9">
        <v>1.2617267539045796E-11</v>
      </c>
      <c r="J26" s="9">
        <v>-50.240875099085542</v>
      </c>
    </row>
    <row r="27" spans="2:10" x14ac:dyDescent="0.2">
      <c r="B27" s="9" t="s">
        <v>435</v>
      </c>
      <c r="C27" s="9" t="s">
        <v>436</v>
      </c>
      <c r="D27" s="9">
        <v>313.87644922406497</v>
      </c>
      <c r="F27" s="9">
        <v>313.87644922405229</v>
      </c>
      <c r="G27" s="9">
        <v>-50.240875099085322</v>
      </c>
      <c r="I27" s="9">
        <v>313.87644922405229</v>
      </c>
      <c r="J27" s="9">
        <v>-50.240875099085322</v>
      </c>
    </row>
    <row r="28" spans="2:10" x14ac:dyDescent="0.2">
      <c r="B28" s="9" t="s">
        <v>437</v>
      </c>
      <c r="C28" s="9" t="s">
        <v>438</v>
      </c>
      <c r="D28" s="9">
        <v>1458.75</v>
      </c>
      <c r="F28" s="9">
        <v>1458.7499999453946</v>
      </c>
      <c r="G28" s="9">
        <v>-50.24087509822084</v>
      </c>
      <c r="I28" s="9">
        <v>1458.7499999453946</v>
      </c>
      <c r="J28" s="9">
        <v>-50.24087509822084</v>
      </c>
    </row>
    <row r="29" spans="2:10" x14ac:dyDescent="0.2">
      <c r="B29" s="9" t="s">
        <v>439</v>
      </c>
      <c r="C29" s="9" t="s">
        <v>440</v>
      </c>
      <c r="D29" s="9">
        <v>590.45203726239174</v>
      </c>
      <c r="F29" s="9">
        <v>590.4520372385183</v>
      </c>
      <c r="G29" s="9">
        <v>-50.240875098518423</v>
      </c>
      <c r="I29" s="9">
        <v>590.4520372385183</v>
      </c>
      <c r="J29" s="9">
        <v>-50.240875098518423</v>
      </c>
    </row>
    <row r="30" spans="2:10" x14ac:dyDescent="0.2">
      <c r="B30" s="9" t="s">
        <v>441</v>
      </c>
      <c r="C30" s="9" t="s">
        <v>442</v>
      </c>
      <c r="D30" s="9">
        <v>0</v>
      </c>
      <c r="F30" s="9">
        <v>6.064943171157396E-11</v>
      </c>
      <c r="G30" s="9">
        <v>-50.240875099087646</v>
      </c>
      <c r="I30" s="9">
        <v>6.064943171157396E-11</v>
      </c>
      <c r="J30" s="9">
        <v>-50.240875099087646</v>
      </c>
    </row>
    <row r="31" spans="2:10" x14ac:dyDescent="0.2">
      <c r="B31" s="9" t="s">
        <v>443</v>
      </c>
      <c r="C31" s="9" t="s">
        <v>444</v>
      </c>
      <c r="D31" s="9">
        <v>0</v>
      </c>
      <c r="F31" s="9">
        <v>1.7564616427989677E-11</v>
      </c>
      <c r="G31" s="9">
        <v>-50.240875099085748</v>
      </c>
      <c r="I31" s="9">
        <v>1.7564616427989677E-11</v>
      </c>
      <c r="J31" s="9">
        <v>-50.240875099085748</v>
      </c>
    </row>
    <row r="32" spans="2:10" ht="16" thickBot="1" x14ac:dyDescent="0.25">
      <c r="B32" s="7" t="s">
        <v>445</v>
      </c>
      <c r="C32" s="7" t="s">
        <v>446</v>
      </c>
      <c r="D32" s="7">
        <v>0</v>
      </c>
      <c r="F32" s="7">
        <v>0</v>
      </c>
      <c r="G32" s="7">
        <v>-50.240875099085429</v>
      </c>
      <c r="I32" s="7">
        <v>0</v>
      </c>
      <c r="J32" s="7">
        <v>-50.240875099085429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64"/>
  <sheetViews>
    <sheetView zoomScale="84" zoomScaleNormal="84" zoomScalePageLayoutView="84" workbookViewId="0">
      <selection activeCell="C21" sqref="C21"/>
    </sheetView>
  </sheetViews>
  <sheetFormatPr baseColWidth="10" defaultColWidth="8.83203125" defaultRowHeight="15" x14ac:dyDescent="0.2"/>
  <cols>
    <col min="1" max="1" width="96.6640625" customWidth="1"/>
    <col min="2" max="2" width="57" customWidth="1"/>
    <col min="3" max="3" width="82.6640625" customWidth="1"/>
    <col min="4" max="4" width="14.83203125" customWidth="1"/>
    <col min="5" max="5" width="76.5" customWidth="1"/>
    <col min="6" max="6" width="93.1640625" customWidth="1"/>
    <col min="7" max="7" width="13" bestFit="1" customWidth="1"/>
    <col min="8" max="8" width="44.83203125" customWidth="1"/>
    <col min="9" max="9" width="14.5" customWidth="1"/>
  </cols>
  <sheetData>
    <row r="1" spans="1:10" x14ac:dyDescent="0.2">
      <c r="C1" t="s">
        <v>571</v>
      </c>
    </row>
    <row r="3" spans="1:10" x14ac:dyDescent="0.2">
      <c r="B3" t="s">
        <v>225</v>
      </c>
      <c r="C3" t="s">
        <v>226</v>
      </c>
      <c r="D3" t="s">
        <v>19</v>
      </c>
      <c r="E3" t="s">
        <v>20</v>
      </c>
      <c r="F3" t="s">
        <v>7</v>
      </c>
      <c r="G3" t="s">
        <v>8</v>
      </c>
      <c r="H3" t="s">
        <v>9</v>
      </c>
      <c r="I3" t="s">
        <v>10</v>
      </c>
      <c r="J3" t="s">
        <v>36</v>
      </c>
    </row>
    <row r="4" spans="1:10" x14ac:dyDescent="0.2">
      <c r="A4" t="s">
        <v>227</v>
      </c>
      <c r="B4">
        <v>1400</v>
      </c>
      <c r="C4">
        <v>1500</v>
      </c>
    </row>
    <row r="5" spans="1:10" x14ac:dyDescent="0.2">
      <c r="A5" t="s">
        <v>570</v>
      </c>
      <c r="D5">
        <v>250</v>
      </c>
      <c r="E5">
        <v>250</v>
      </c>
      <c r="F5">
        <v>250</v>
      </c>
      <c r="G5">
        <v>250</v>
      </c>
      <c r="H5">
        <v>250</v>
      </c>
      <c r="I5">
        <v>250</v>
      </c>
    </row>
    <row r="6" spans="1:10" x14ac:dyDescent="0.2">
      <c r="A6" t="s">
        <v>83</v>
      </c>
      <c r="I6">
        <v>100</v>
      </c>
    </row>
    <row r="7" spans="1:10" x14ac:dyDescent="0.2">
      <c r="A7" t="s">
        <v>173</v>
      </c>
      <c r="C7">
        <v>250</v>
      </c>
    </row>
    <row r="8" spans="1:10" x14ac:dyDescent="0.2">
      <c r="A8" t="s">
        <v>228</v>
      </c>
      <c r="C8">
        <v>0</v>
      </c>
    </row>
    <row r="9" spans="1:10" x14ac:dyDescent="0.2">
      <c r="A9" t="s">
        <v>229</v>
      </c>
      <c r="C9">
        <v>1770</v>
      </c>
    </row>
    <row r="10" spans="1:10" x14ac:dyDescent="0.2">
      <c r="A10" t="s">
        <v>230</v>
      </c>
      <c r="C10">
        <v>1275</v>
      </c>
    </row>
    <row r="11" spans="1:10" x14ac:dyDescent="0.2">
      <c r="A11" t="s">
        <v>231</v>
      </c>
      <c r="C11">
        <v>4000</v>
      </c>
    </row>
    <row r="12" spans="1:10" x14ac:dyDescent="0.2">
      <c r="A12" t="s">
        <v>232</v>
      </c>
      <c r="C12">
        <v>1200</v>
      </c>
    </row>
    <row r="13" spans="1:10" x14ac:dyDescent="0.2">
      <c r="A13" t="s">
        <v>186</v>
      </c>
      <c r="C13">
        <v>1275</v>
      </c>
    </row>
    <row r="14" spans="1:10" x14ac:dyDescent="0.2">
      <c r="A14" t="s">
        <v>233</v>
      </c>
      <c r="C14">
        <v>0</v>
      </c>
    </row>
    <row r="15" spans="1:10" x14ac:dyDescent="0.2">
      <c r="A15" t="s">
        <v>234</v>
      </c>
      <c r="C15">
        <v>200</v>
      </c>
    </row>
    <row r="16" spans="1:10" x14ac:dyDescent="0.2">
      <c r="A16" t="s">
        <v>235</v>
      </c>
      <c r="C16">
        <v>1000</v>
      </c>
    </row>
    <row r="17" spans="1:7" x14ac:dyDescent="0.2">
      <c r="A17" t="s">
        <v>189</v>
      </c>
      <c r="C17">
        <v>1000</v>
      </c>
    </row>
    <row r="18" spans="1:7" x14ac:dyDescent="0.2">
      <c r="A18" t="s">
        <v>191</v>
      </c>
      <c r="C18">
        <v>2620</v>
      </c>
    </row>
    <row r="20" spans="1:7" x14ac:dyDescent="0.2">
      <c r="C20" t="s">
        <v>236</v>
      </c>
    </row>
    <row r="21" spans="1:7" x14ac:dyDescent="0.2">
      <c r="A21" t="s">
        <v>237</v>
      </c>
    </row>
    <row r="22" spans="1:7" x14ac:dyDescent="0.2">
      <c r="A22" t="s">
        <v>238</v>
      </c>
    </row>
    <row r="23" spans="1:7" x14ac:dyDescent="0.2">
      <c r="C23" t="s">
        <v>239</v>
      </c>
    </row>
    <row r="24" spans="1:7" x14ac:dyDescent="0.2">
      <c r="B24" t="s">
        <v>241</v>
      </c>
      <c r="C24" t="s">
        <v>242</v>
      </c>
      <c r="D24" t="s">
        <v>243</v>
      </c>
      <c r="E24" t="s">
        <v>244</v>
      </c>
      <c r="F24" t="s">
        <v>9</v>
      </c>
      <c r="G24" t="s">
        <v>245</v>
      </c>
    </row>
    <row r="25" spans="1:7" x14ac:dyDescent="0.2">
      <c r="A25" t="s">
        <v>240</v>
      </c>
    </row>
    <row r="26" spans="1:7" x14ac:dyDescent="0.2">
      <c r="A26" t="s">
        <v>246</v>
      </c>
      <c r="B26">
        <v>8</v>
      </c>
      <c r="C26">
        <v>9</v>
      </c>
      <c r="D26">
        <v>10</v>
      </c>
      <c r="E26">
        <v>9.5</v>
      </c>
      <c r="F26">
        <v>9</v>
      </c>
      <c r="G26">
        <v>9</v>
      </c>
    </row>
    <row r="27" spans="1:7" x14ac:dyDescent="0.2">
      <c r="A27" t="s">
        <v>249</v>
      </c>
      <c r="B27">
        <v>9.5</v>
      </c>
      <c r="C27">
        <v>9</v>
      </c>
      <c r="D27">
        <v>9.5</v>
      </c>
      <c r="E27">
        <v>9</v>
      </c>
      <c r="F27">
        <v>9.5</v>
      </c>
      <c r="G27">
        <v>9.5</v>
      </c>
    </row>
    <row r="28" spans="1:7" x14ac:dyDescent="0.2">
      <c r="A28" t="s">
        <v>247</v>
      </c>
    </row>
    <row r="29" spans="1:7" x14ac:dyDescent="0.2">
      <c r="A29" t="s">
        <v>248</v>
      </c>
      <c r="B29">
        <v>9</v>
      </c>
      <c r="C29">
        <v>10</v>
      </c>
      <c r="D29">
        <v>11.5</v>
      </c>
      <c r="E29">
        <v>11</v>
      </c>
      <c r="F29">
        <v>9.5</v>
      </c>
      <c r="G29">
        <v>9.5</v>
      </c>
    </row>
    <row r="30" spans="1:7" x14ac:dyDescent="0.2">
      <c r="A30" t="s">
        <v>250</v>
      </c>
      <c r="B30">
        <v>9.5</v>
      </c>
      <c r="C30">
        <v>10</v>
      </c>
      <c r="D30">
        <v>11</v>
      </c>
      <c r="E30">
        <v>11</v>
      </c>
      <c r="F30">
        <v>10</v>
      </c>
      <c r="G30">
        <v>10</v>
      </c>
    </row>
    <row r="31" spans="1:7" x14ac:dyDescent="0.2">
      <c r="A31" t="s">
        <v>251</v>
      </c>
      <c r="B31">
        <v>10</v>
      </c>
      <c r="C31">
        <v>10</v>
      </c>
      <c r="D31">
        <v>10</v>
      </c>
      <c r="E31">
        <v>10</v>
      </c>
      <c r="F31">
        <v>10.5</v>
      </c>
      <c r="G31">
        <v>10.5</v>
      </c>
    </row>
    <row r="32" spans="1:7" x14ac:dyDescent="0.2">
      <c r="A32" t="s">
        <v>252</v>
      </c>
      <c r="B32">
        <v>10.5</v>
      </c>
      <c r="C32">
        <v>10</v>
      </c>
      <c r="D32">
        <v>10</v>
      </c>
      <c r="E32">
        <v>10</v>
      </c>
      <c r="F32">
        <v>11</v>
      </c>
      <c r="G32">
        <v>11</v>
      </c>
    </row>
    <row r="34" spans="1:4" x14ac:dyDescent="0.2">
      <c r="C34" t="s">
        <v>253</v>
      </c>
    </row>
    <row r="36" spans="1:4" x14ac:dyDescent="0.2">
      <c r="B36" t="s">
        <v>254</v>
      </c>
      <c r="C36" t="s">
        <v>255</v>
      </c>
      <c r="D36" t="s">
        <v>256</v>
      </c>
    </row>
    <row r="37" spans="1:4" x14ac:dyDescent="0.2">
      <c r="A37" t="s">
        <v>257</v>
      </c>
      <c r="B37" s="5">
        <f>A257</f>
        <v>0.1</v>
      </c>
      <c r="C37" s="5">
        <f>A258</f>
        <v>0.1</v>
      </c>
      <c r="D37" s="15">
        <f>100%-(B37+C37)</f>
        <v>0.8</v>
      </c>
    </row>
    <row r="39" spans="1:4" x14ac:dyDescent="0.2">
      <c r="B39" t="s">
        <v>259</v>
      </c>
      <c r="C39" t="s">
        <v>255</v>
      </c>
    </row>
    <row r="40" spans="1:4" x14ac:dyDescent="0.2">
      <c r="A40" t="s">
        <v>258</v>
      </c>
      <c r="B40" s="5">
        <f>A261</f>
        <v>0</v>
      </c>
      <c r="C40" s="5">
        <f>100%-B40</f>
        <v>1</v>
      </c>
    </row>
    <row r="41" spans="1:4" x14ac:dyDescent="0.2">
      <c r="A41" t="s">
        <v>260</v>
      </c>
      <c r="B41" t="s">
        <v>261</v>
      </c>
    </row>
    <row r="42" spans="1:4" x14ac:dyDescent="0.2">
      <c r="A42" t="s">
        <v>262</v>
      </c>
      <c r="B42" s="5">
        <v>0.25</v>
      </c>
    </row>
    <row r="43" spans="1:4" x14ac:dyDescent="0.2">
      <c r="A43" t="s">
        <v>263</v>
      </c>
      <c r="B43">
        <f>A265</f>
        <v>250</v>
      </c>
    </row>
    <row r="44" spans="1:4" x14ac:dyDescent="0.2">
      <c r="A44" t="s">
        <v>576</v>
      </c>
      <c r="B44">
        <f>A379</f>
        <v>250</v>
      </c>
    </row>
    <row r="45" spans="1:4" x14ac:dyDescent="0.2">
      <c r="A45" t="s">
        <v>573</v>
      </c>
      <c r="B45">
        <f>A381</f>
        <v>0</v>
      </c>
      <c r="C45" t="s">
        <v>264</v>
      </c>
    </row>
    <row r="47" spans="1:4" x14ac:dyDescent="0.2">
      <c r="A47" t="s">
        <v>569</v>
      </c>
    </row>
    <row r="48" spans="1:4" x14ac:dyDescent="0.2">
      <c r="A48" t="s">
        <v>265</v>
      </c>
    </row>
    <row r="49" spans="1:8" x14ac:dyDescent="0.2">
      <c r="A49" t="s">
        <v>587</v>
      </c>
      <c r="C49" t="s">
        <v>267</v>
      </c>
    </row>
    <row r="51" spans="1:8" x14ac:dyDescent="0.2">
      <c r="B51" t="s">
        <v>241</v>
      </c>
      <c r="C51" t="s">
        <v>242</v>
      </c>
      <c r="D51" t="s">
        <v>243</v>
      </c>
      <c r="E51" t="s">
        <v>244</v>
      </c>
      <c r="F51" t="s">
        <v>9</v>
      </c>
      <c r="G51" t="s">
        <v>245</v>
      </c>
      <c r="H51" t="s">
        <v>307</v>
      </c>
    </row>
    <row r="52" spans="1:8" x14ac:dyDescent="0.2">
      <c r="A52" t="s">
        <v>227</v>
      </c>
      <c r="B52">
        <v>1700</v>
      </c>
      <c r="C52">
        <v>1800</v>
      </c>
      <c r="D52">
        <v>2000</v>
      </c>
      <c r="E52">
        <v>2600</v>
      </c>
      <c r="F52">
        <v>2400</v>
      </c>
      <c r="G52">
        <v>1900</v>
      </c>
      <c r="H52">
        <v>1400</v>
      </c>
    </row>
    <row r="53" spans="1:8" x14ac:dyDescent="0.2">
      <c r="A53" t="s">
        <v>268</v>
      </c>
      <c r="B53">
        <f>B52*(1-B42)</f>
        <v>1275</v>
      </c>
      <c r="C53">
        <f>C52*(1-B42)</f>
        <v>1350</v>
      </c>
      <c r="D53">
        <f>D52*(1-B42)</f>
        <v>1500</v>
      </c>
      <c r="E53">
        <f>E52*(1-B42)</f>
        <v>1950</v>
      </c>
      <c r="F53">
        <f>F52*(1-B42)</f>
        <v>1800</v>
      </c>
      <c r="G53">
        <f>G52*(1-B42)</f>
        <v>1425</v>
      </c>
      <c r="H53">
        <f>H52*(1-B42)</f>
        <v>1050</v>
      </c>
    </row>
    <row r="54" spans="1:8" x14ac:dyDescent="0.2">
      <c r="A54" t="s">
        <v>96</v>
      </c>
      <c r="B54">
        <f t="shared" ref="B54:G54" si="0">B52-B53</f>
        <v>425</v>
      </c>
      <c r="C54">
        <f t="shared" si="0"/>
        <v>450</v>
      </c>
      <c r="D54">
        <f t="shared" si="0"/>
        <v>500</v>
      </c>
      <c r="E54">
        <f t="shared" si="0"/>
        <v>650</v>
      </c>
      <c r="F54">
        <f t="shared" si="0"/>
        <v>600</v>
      </c>
      <c r="G54">
        <f t="shared" si="0"/>
        <v>475</v>
      </c>
    </row>
    <row r="55" spans="1:8" x14ac:dyDescent="0.2">
      <c r="A55" t="s">
        <v>305</v>
      </c>
      <c r="B55">
        <f>B44</f>
        <v>250</v>
      </c>
      <c r="C55">
        <v>250</v>
      </c>
      <c r="D55">
        <v>250</v>
      </c>
      <c r="E55">
        <v>250</v>
      </c>
      <c r="F55">
        <v>250</v>
      </c>
      <c r="G55">
        <v>250</v>
      </c>
    </row>
    <row r="56" spans="1:8" x14ac:dyDescent="0.2">
      <c r="A56" t="s">
        <v>306</v>
      </c>
      <c r="B56">
        <f>B45</f>
        <v>0</v>
      </c>
      <c r="C56">
        <v>0</v>
      </c>
      <c r="D56">
        <v>0</v>
      </c>
      <c r="E56">
        <v>0</v>
      </c>
      <c r="F56">
        <v>0</v>
      </c>
      <c r="G56">
        <v>100</v>
      </c>
    </row>
    <row r="57" spans="1:8" x14ac:dyDescent="0.2">
      <c r="A57" t="s">
        <v>588</v>
      </c>
      <c r="B57">
        <f t="shared" ref="B57:G57" si="1">B54-(B55+B56)</f>
        <v>175</v>
      </c>
      <c r="C57">
        <f t="shared" si="1"/>
        <v>200</v>
      </c>
      <c r="D57">
        <f t="shared" si="1"/>
        <v>250</v>
      </c>
      <c r="E57">
        <f t="shared" si="1"/>
        <v>400</v>
      </c>
      <c r="F57">
        <f t="shared" si="1"/>
        <v>350</v>
      </c>
      <c r="G57">
        <f t="shared" si="1"/>
        <v>125</v>
      </c>
    </row>
    <row r="58" spans="1:8" x14ac:dyDescent="0.2">
      <c r="A58" t="s">
        <v>215</v>
      </c>
      <c r="B58">
        <f t="shared" ref="B58:G59" si="2">B93</f>
        <v>0</v>
      </c>
      <c r="C58">
        <f t="shared" si="2"/>
        <v>12.416666666666668</v>
      </c>
      <c r="D58">
        <f t="shared" si="2"/>
        <v>5.6740451388888893</v>
      </c>
      <c r="E58">
        <f t="shared" si="2"/>
        <v>5.6740451388888893</v>
      </c>
      <c r="F58">
        <f t="shared" si="2"/>
        <v>0</v>
      </c>
      <c r="G58">
        <f t="shared" si="2"/>
        <v>0</v>
      </c>
    </row>
    <row r="59" spans="1:8" x14ac:dyDescent="0.2">
      <c r="A59" t="s">
        <v>270</v>
      </c>
      <c r="B59">
        <f t="shared" si="2"/>
        <v>8.75</v>
      </c>
      <c r="C59">
        <f t="shared" si="2"/>
        <v>21.53125</v>
      </c>
      <c r="D59">
        <f t="shared" si="2"/>
        <v>21.53125</v>
      </c>
      <c r="E59">
        <f t="shared" si="2"/>
        <v>25.384320746519876</v>
      </c>
      <c r="F59">
        <f t="shared" si="2"/>
        <v>22.268017487694387</v>
      </c>
      <c r="G59">
        <f t="shared" si="2"/>
        <v>22.036917633426604</v>
      </c>
    </row>
    <row r="60" spans="1:8" x14ac:dyDescent="0.2">
      <c r="A60" t="s">
        <v>271</v>
      </c>
      <c r="B60">
        <f t="shared" ref="B60:G60" si="3">B57+B58-B59</f>
        <v>166.25</v>
      </c>
      <c r="C60">
        <f t="shared" si="3"/>
        <v>190.88541666666666</v>
      </c>
      <c r="D60">
        <f t="shared" si="3"/>
        <v>234.14279513888889</v>
      </c>
      <c r="E60">
        <f t="shared" si="3"/>
        <v>380.28972439236907</v>
      </c>
      <c r="F60">
        <f t="shared" si="3"/>
        <v>327.73198251230559</v>
      </c>
      <c r="G60">
        <f t="shared" si="3"/>
        <v>102.96308236657339</v>
      </c>
    </row>
    <row r="61" spans="1:8" x14ac:dyDescent="0.2">
      <c r="A61" t="s">
        <v>272</v>
      </c>
      <c r="B61">
        <f>A383*B60</f>
        <v>66.5</v>
      </c>
      <c r="C61">
        <f>A383*C60</f>
        <v>76.354166666666671</v>
      </c>
      <c r="D61">
        <f>A383*D60</f>
        <v>93.657118055555557</v>
      </c>
      <c r="E61">
        <f>A383*E60</f>
        <v>152.11588975694764</v>
      </c>
      <c r="F61">
        <f>A383*F60</f>
        <v>131.09279300492224</v>
      </c>
      <c r="G61">
        <f>A383*G60</f>
        <v>41.185232946629355</v>
      </c>
    </row>
    <row r="62" spans="1:8" x14ac:dyDescent="0.2">
      <c r="A62" t="s">
        <v>273</v>
      </c>
      <c r="B62">
        <f t="shared" ref="B62:G62" si="4">B60-B61</f>
        <v>99.75</v>
      </c>
      <c r="C62">
        <f t="shared" si="4"/>
        <v>114.53124999999999</v>
      </c>
      <c r="D62">
        <f t="shared" si="4"/>
        <v>140.48567708333331</v>
      </c>
      <c r="E62">
        <f t="shared" si="4"/>
        <v>228.17383463542143</v>
      </c>
      <c r="F62">
        <f t="shared" si="4"/>
        <v>196.63918950738335</v>
      </c>
      <c r="G62">
        <f t="shared" si="4"/>
        <v>61.777849419944033</v>
      </c>
    </row>
    <row r="63" spans="1:8" x14ac:dyDescent="0.2">
      <c r="C63" t="s">
        <v>274</v>
      </c>
    </row>
    <row r="65" spans="1:7" x14ac:dyDescent="0.2">
      <c r="A65" t="s">
        <v>275</v>
      </c>
      <c r="B65" t="s">
        <v>241</v>
      </c>
      <c r="C65" t="s">
        <v>242</v>
      </c>
      <c r="D65" t="s">
        <v>243</v>
      </c>
      <c r="E65" t="s">
        <v>244</v>
      </c>
      <c r="F65" t="s">
        <v>9</v>
      </c>
      <c r="G65" t="s">
        <v>245</v>
      </c>
    </row>
    <row r="67" spans="1:7" x14ac:dyDescent="0.2">
      <c r="A67" t="s">
        <v>276</v>
      </c>
      <c r="B67">
        <f>(B52*B37)</f>
        <v>170</v>
      </c>
      <c r="C67">
        <f>(C52*B37)</f>
        <v>180</v>
      </c>
      <c r="D67">
        <f>(D52*B37)</f>
        <v>200</v>
      </c>
      <c r="E67">
        <f>(E52*B37)</f>
        <v>260</v>
      </c>
      <c r="F67">
        <f>(F52*B37)</f>
        <v>240</v>
      </c>
      <c r="G67">
        <f>(G52*B37)</f>
        <v>190</v>
      </c>
    </row>
    <row r="68" spans="1:7" x14ac:dyDescent="0.2">
      <c r="A68" t="s">
        <v>277</v>
      </c>
      <c r="B68">
        <f>0.6*C4</f>
        <v>900</v>
      </c>
      <c r="C68">
        <f>(B52*C37)</f>
        <v>170</v>
      </c>
      <c r="D68">
        <f>(C52*C37)</f>
        <v>180</v>
      </c>
      <c r="E68">
        <f>(D52*C37)</f>
        <v>200</v>
      </c>
      <c r="F68">
        <f>(E52*C37)</f>
        <v>260</v>
      </c>
      <c r="G68">
        <f>(F52*C37)</f>
        <v>240</v>
      </c>
    </row>
    <row r="69" spans="1:7" x14ac:dyDescent="0.2">
      <c r="A69" t="s">
        <v>278</v>
      </c>
      <c r="B69">
        <f>(0.3*B4)</f>
        <v>420</v>
      </c>
      <c r="C69">
        <f>(0.3*C4)</f>
        <v>450</v>
      </c>
      <c r="D69">
        <f>(B52*D37)</f>
        <v>1360</v>
      </c>
      <c r="E69">
        <f>(C52*D37)</f>
        <v>1440</v>
      </c>
      <c r="F69">
        <f>(D52*D37)</f>
        <v>1600</v>
      </c>
      <c r="G69">
        <f>(E52*D37)</f>
        <v>2080</v>
      </c>
    </row>
    <row r="70" spans="1:7" x14ac:dyDescent="0.2">
      <c r="A70" t="s">
        <v>279</v>
      </c>
      <c r="B70">
        <f t="shared" ref="B70:G70" si="5">B67+B68+B69</f>
        <v>1490</v>
      </c>
      <c r="C70">
        <f t="shared" si="5"/>
        <v>800</v>
      </c>
      <c r="D70">
        <f t="shared" si="5"/>
        <v>1740</v>
      </c>
      <c r="E70">
        <f t="shared" si="5"/>
        <v>1900</v>
      </c>
      <c r="F70">
        <f t="shared" si="5"/>
        <v>2100</v>
      </c>
      <c r="G70">
        <f t="shared" si="5"/>
        <v>2510</v>
      </c>
    </row>
    <row r="71" spans="1:7" x14ac:dyDescent="0.2">
      <c r="A71" t="s">
        <v>280</v>
      </c>
      <c r="B71">
        <f t="shared" ref="B71:G71" si="6">C53</f>
        <v>1350</v>
      </c>
      <c r="C71">
        <f t="shared" si="6"/>
        <v>1500</v>
      </c>
      <c r="D71">
        <f t="shared" si="6"/>
        <v>1950</v>
      </c>
      <c r="E71">
        <f t="shared" si="6"/>
        <v>1800</v>
      </c>
      <c r="F71">
        <f t="shared" si="6"/>
        <v>1425</v>
      </c>
      <c r="G71">
        <f t="shared" si="6"/>
        <v>1050</v>
      </c>
    </row>
    <row r="73" spans="1:7" x14ac:dyDescent="0.2">
      <c r="A73" t="s">
        <v>281</v>
      </c>
      <c r="B73" t="s">
        <v>241</v>
      </c>
      <c r="C73" t="s">
        <v>242</v>
      </c>
      <c r="D73" t="s">
        <v>243</v>
      </c>
      <c r="E73" t="s">
        <v>244</v>
      </c>
      <c r="F73" t="s">
        <v>9</v>
      </c>
      <c r="G73" t="s">
        <v>245</v>
      </c>
    </row>
    <row r="75" spans="1:7" x14ac:dyDescent="0.2">
      <c r="A75" t="s">
        <v>282</v>
      </c>
      <c r="B75">
        <f>B40*B53</f>
        <v>0</v>
      </c>
      <c r="C75">
        <f>B40*C53</f>
        <v>0</v>
      </c>
      <c r="D75">
        <f>B40*D53</f>
        <v>0</v>
      </c>
      <c r="E75">
        <f>B40*E53</f>
        <v>0</v>
      </c>
      <c r="F75">
        <f>B40*F53</f>
        <v>0</v>
      </c>
      <c r="G75">
        <f>B40*G53</f>
        <v>0</v>
      </c>
    </row>
    <row r="76" spans="1:7" x14ac:dyDescent="0.2">
      <c r="A76" t="s">
        <v>283</v>
      </c>
      <c r="B76">
        <f>C40*B53</f>
        <v>1275</v>
      </c>
      <c r="C76">
        <f>C40*C53</f>
        <v>1350</v>
      </c>
      <c r="D76">
        <f>C40*D53</f>
        <v>1500</v>
      </c>
      <c r="E76">
        <f>C40*E53</f>
        <v>1950</v>
      </c>
      <c r="F76">
        <f>C40*F53</f>
        <v>1800</v>
      </c>
      <c r="G76">
        <f>C40*G53</f>
        <v>1425</v>
      </c>
    </row>
    <row r="77" spans="1:7" x14ac:dyDescent="0.2">
      <c r="A77" t="s">
        <v>284</v>
      </c>
      <c r="B77">
        <f t="shared" ref="B77:G77" si="7">B55</f>
        <v>250</v>
      </c>
      <c r="C77">
        <f t="shared" si="7"/>
        <v>250</v>
      </c>
      <c r="D77">
        <f t="shared" si="7"/>
        <v>250</v>
      </c>
      <c r="E77">
        <f t="shared" si="7"/>
        <v>250</v>
      </c>
      <c r="F77">
        <f t="shared" si="7"/>
        <v>250</v>
      </c>
      <c r="G77">
        <f t="shared" si="7"/>
        <v>250</v>
      </c>
    </row>
    <row r="78" spans="1:7" x14ac:dyDescent="0.2">
      <c r="A78" t="s">
        <v>272</v>
      </c>
      <c r="B78">
        <f>0</f>
        <v>0</v>
      </c>
      <c r="C78">
        <f>0</f>
        <v>0</v>
      </c>
      <c r="D78">
        <f>200+SUM(B61,C61,D61)</f>
        <v>436.51128472222223</v>
      </c>
      <c r="E78">
        <f>0</f>
        <v>0</v>
      </c>
      <c r="F78">
        <f>0</f>
        <v>0</v>
      </c>
      <c r="G78">
        <f>E61+F61+G61</f>
        <v>324.39391570849926</v>
      </c>
    </row>
    <row r="79" spans="1:7" x14ac:dyDescent="0.2">
      <c r="A79" t="s">
        <v>285</v>
      </c>
      <c r="B79">
        <f t="shared" ref="B79:G79" si="8">B75+B76+B77+B78</f>
        <v>1525</v>
      </c>
      <c r="C79">
        <f t="shared" si="8"/>
        <v>1600</v>
      </c>
      <c r="D79">
        <f t="shared" si="8"/>
        <v>2186.5112847222222</v>
      </c>
      <c r="E79">
        <f t="shared" si="8"/>
        <v>2200</v>
      </c>
      <c r="F79">
        <f t="shared" si="8"/>
        <v>2050</v>
      </c>
      <c r="G79">
        <f t="shared" si="8"/>
        <v>1999.3939157084992</v>
      </c>
    </row>
    <row r="80" spans="1:7" x14ac:dyDescent="0.2">
      <c r="A80" t="s">
        <v>286</v>
      </c>
      <c r="B80">
        <f t="shared" ref="B80:G80" si="9">B70-B79</f>
        <v>-35</v>
      </c>
      <c r="C80">
        <f t="shared" si="9"/>
        <v>-800</v>
      </c>
      <c r="D80">
        <f t="shared" si="9"/>
        <v>-446.51128472222217</v>
      </c>
      <c r="E80">
        <f t="shared" si="9"/>
        <v>-300</v>
      </c>
      <c r="F80">
        <f t="shared" si="9"/>
        <v>50</v>
      </c>
      <c r="G80">
        <f t="shared" si="9"/>
        <v>510.60608429150079</v>
      </c>
    </row>
    <row r="82" spans="1:7" x14ac:dyDescent="0.2">
      <c r="C82" t="s">
        <v>287</v>
      </c>
    </row>
    <row r="84" spans="1:7" x14ac:dyDescent="0.2">
      <c r="A84" t="s">
        <v>288</v>
      </c>
      <c r="B84">
        <f>C153</f>
        <v>809.11458333333326</v>
      </c>
      <c r="C84">
        <f>C154</f>
        <v>0</v>
      </c>
      <c r="D84">
        <f>C155</f>
        <v>0</v>
      </c>
      <c r="E84">
        <f>C156</f>
        <v>0</v>
      </c>
      <c r="F84">
        <f>C157</f>
        <v>0</v>
      </c>
      <c r="G84">
        <f>C157</f>
        <v>0</v>
      </c>
    </row>
    <row r="85" spans="1:7" x14ac:dyDescent="0.2">
      <c r="A85" t="s">
        <v>289</v>
      </c>
      <c r="B85">
        <f>C159</f>
        <v>680.88541666666674</v>
      </c>
      <c r="C85">
        <f>C160</f>
        <v>0</v>
      </c>
      <c r="D85">
        <f>C161</f>
        <v>0</v>
      </c>
      <c r="E85">
        <f>C162</f>
        <v>0</v>
      </c>
    </row>
    <row r="86" spans="1:7" x14ac:dyDescent="0.2">
      <c r="A86" t="s">
        <v>290</v>
      </c>
      <c r="B86">
        <f>C237</f>
        <v>0</v>
      </c>
      <c r="C86">
        <f>C238</f>
        <v>-5.6843418860808015E-14</v>
      </c>
      <c r="D86">
        <f>C239</f>
        <v>462.36848958238488</v>
      </c>
      <c r="E86">
        <f>C240</f>
        <v>516.30114917013555</v>
      </c>
      <c r="F86">
        <f>C241</f>
        <v>488.56916665800202</v>
      </c>
    </row>
    <row r="87" spans="1:7" x14ac:dyDescent="0.2">
      <c r="A87" t="s">
        <v>292</v>
      </c>
      <c r="B87">
        <f>C242</f>
        <v>1533.75</v>
      </c>
      <c r="C87">
        <f>C243</f>
        <v>0</v>
      </c>
      <c r="D87">
        <f>C244</f>
        <v>0</v>
      </c>
      <c r="E87">
        <f>C245</f>
        <v>1105.8609493531906</v>
      </c>
    </row>
    <row r="88" spans="1:7" x14ac:dyDescent="0.2">
      <c r="A88" t="s">
        <v>291</v>
      </c>
      <c r="B88">
        <f>C246</f>
        <v>0</v>
      </c>
    </row>
    <row r="89" spans="1:7" x14ac:dyDescent="0.2">
      <c r="A89" t="s">
        <v>293</v>
      </c>
      <c r="B89">
        <v>0</v>
      </c>
    </row>
    <row r="91" spans="1:7" x14ac:dyDescent="0.2">
      <c r="C91" t="s">
        <v>294</v>
      </c>
    </row>
    <row r="93" spans="1:7" x14ac:dyDescent="0.2">
      <c r="A93" t="s">
        <v>192</v>
      </c>
      <c r="B93">
        <v>0</v>
      </c>
      <c r="C93">
        <f>D176+D182</f>
        <v>12.416666666666668</v>
      </c>
      <c r="D93">
        <f>D177+D182+D183</f>
        <v>5.6740451388888893</v>
      </c>
      <c r="E93">
        <f>D178+D182+D183+D184</f>
        <v>5.6740451388888893</v>
      </c>
      <c r="F93">
        <f>D179+D183+D184+D185</f>
        <v>0</v>
      </c>
      <c r="G93">
        <f>D180+D184+D185</f>
        <v>0</v>
      </c>
    </row>
    <row r="94" spans="1:7" x14ac:dyDescent="0.2">
      <c r="A94" t="s">
        <v>295</v>
      </c>
      <c r="B94">
        <v>8.75</v>
      </c>
      <c r="C94">
        <f>8.75+D186+D191+D195</f>
        <v>21.53125</v>
      </c>
      <c r="D94">
        <f>8.75+D187+D191+D192+D195</f>
        <v>21.53125</v>
      </c>
      <c r="E94">
        <f>8.75+D188+D191+D192+D193+D195</f>
        <v>25.384320746519876</v>
      </c>
      <c r="F94">
        <f>8.75+D189+D192+D193+D194+D195</f>
        <v>22.268017487694387</v>
      </c>
      <c r="G94">
        <f>8.75+D190+D193+D194+D195</f>
        <v>22.036917633426604</v>
      </c>
    </row>
    <row r="95" spans="1:7" x14ac:dyDescent="0.2">
      <c r="A95" t="s">
        <v>296</v>
      </c>
      <c r="B95">
        <v>0</v>
      </c>
      <c r="C95">
        <f>C237</f>
        <v>0</v>
      </c>
      <c r="D95">
        <f>C238</f>
        <v>-5.6843418860808015E-14</v>
      </c>
      <c r="E95">
        <f>C239+C242</f>
        <v>1996.1184895823849</v>
      </c>
      <c r="F95">
        <f>C240+C243</f>
        <v>516.30114917013555</v>
      </c>
      <c r="G95">
        <f>C241+C244</f>
        <v>488.56916665800202</v>
      </c>
    </row>
    <row r="96" spans="1:7" x14ac:dyDescent="0.2">
      <c r="A96" t="s">
        <v>297</v>
      </c>
      <c r="B96">
        <v>0</v>
      </c>
      <c r="C96">
        <f>C153</f>
        <v>809.11458333333326</v>
      </c>
      <c r="D96">
        <f>C154</f>
        <v>0</v>
      </c>
      <c r="E96">
        <f>C155+C159</f>
        <v>680.88541666666674</v>
      </c>
      <c r="F96">
        <f>C156+C160</f>
        <v>0</v>
      </c>
      <c r="G96">
        <f>C157+C161</f>
        <v>0</v>
      </c>
    </row>
    <row r="97" spans="1:8" x14ac:dyDescent="0.2">
      <c r="A97" t="s">
        <v>298</v>
      </c>
      <c r="B97">
        <f>250</f>
        <v>250</v>
      </c>
      <c r="C97">
        <f>B98</f>
        <v>250</v>
      </c>
      <c r="D97">
        <f>C98</f>
        <v>249.99999999999994</v>
      </c>
      <c r="E97">
        <f>D98</f>
        <v>249.99999999905162</v>
      </c>
      <c r="F97">
        <f>E98</f>
        <v>249.99999999902855</v>
      </c>
      <c r="G97">
        <f>F98</f>
        <v>249.99999999920067</v>
      </c>
    </row>
    <row r="98" spans="1:8" x14ac:dyDescent="0.2">
      <c r="A98" t="s">
        <v>299</v>
      </c>
      <c r="B98">
        <f>C210</f>
        <v>250</v>
      </c>
      <c r="C98">
        <f>C211</f>
        <v>249.99999999999994</v>
      </c>
      <c r="D98">
        <f>C212</f>
        <v>249.99999999905162</v>
      </c>
      <c r="E98">
        <f>C213</f>
        <v>249.99999999902855</v>
      </c>
      <c r="F98">
        <f>C214</f>
        <v>249.99999999920067</v>
      </c>
      <c r="G98">
        <f>C215</f>
        <v>249.99999999927275</v>
      </c>
    </row>
    <row r="100" spans="1:8" x14ac:dyDescent="0.2">
      <c r="C100" t="s">
        <v>300</v>
      </c>
    </row>
    <row r="102" spans="1:8" x14ac:dyDescent="0.2">
      <c r="B102" t="s">
        <v>241</v>
      </c>
      <c r="C102" t="s">
        <v>242</v>
      </c>
      <c r="D102" t="s">
        <v>243</v>
      </c>
      <c r="E102" t="s">
        <v>244</v>
      </c>
      <c r="F102" t="s">
        <v>9</v>
      </c>
      <c r="G102" t="s">
        <v>245</v>
      </c>
      <c r="H102" t="s">
        <v>586</v>
      </c>
    </row>
    <row r="103" spans="1:8" x14ac:dyDescent="0.2">
      <c r="A103" t="s">
        <v>173</v>
      </c>
      <c r="B103">
        <f t="shared" ref="B103:H103" si="10">B98</f>
        <v>250</v>
      </c>
      <c r="C103">
        <f t="shared" si="10"/>
        <v>249.99999999999994</v>
      </c>
      <c r="D103">
        <f t="shared" si="10"/>
        <v>249.99999999905162</v>
      </c>
      <c r="E103">
        <f t="shared" si="10"/>
        <v>249.99999999902855</v>
      </c>
      <c r="F103">
        <f t="shared" si="10"/>
        <v>249.99999999920067</v>
      </c>
      <c r="G103">
        <f t="shared" si="10"/>
        <v>249.99999999927275</v>
      </c>
      <c r="H103">
        <f t="shared" si="10"/>
        <v>0</v>
      </c>
    </row>
    <row r="104" spans="1:8" x14ac:dyDescent="0.2">
      <c r="A104" t="s">
        <v>288</v>
      </c>
      <c r="B104">
        <f>B84</f>
        <v>809.11458333333326</v>
      </c>
      <c r="C104">
        <f t="shared" ref="C104:H104" si="11">C84</f>
        <v>0</v>
      </c>
      <c r="D104">
        <f t="shared" si="11"/>
        <v>0</v>
      </c>
      <c r="E104">
        <f t="shared" si="11"/>
        <v>0</v>
      </c>
      <c r="F104">
        <f t="shared" si="11"/>
        <v>0</v>
      </c>
      <c r="G104">
        <f t="shared" si="11"/>
        <v>0</v>
      </c>
      <c r="H104">
        <f t="shared" si="11"/>
        <v>0</v>
      </c>
    </row>
    <row r="105" spans="1:8" x14ac:dyDescent="0.2">
      <c r="A105" t="s">
        <v>289</v>
      </c>
      <c r="B105">
        <f>B85</f>
        <v>680.88541666666674</v>
      </c>
      <c r="C105">
        <f t="shared" ref="C105:H105" si="12">C85</f>
        <v>0</v>
      </c>
      <c r="D105">
        <f t="shared" si="12"/>
        <v>0</v>
      </c>
      <c r="E105">
        <f t="shared" si="12"/>
        <v>0</v>
      </c>
      <c r="F105">
        <f t="shared" si="12"/>
        <v>0</v>
      </c>
      <c r="G105">
        <f t="shared" si="12"/>
        <v>0</v>
      </c>
      <c r="H105">
        <f t="shared" si="12"/>
        <v>0</v>
      </c>
    </row>
    <row r="106" spans="1:8" x14ac:dyDescent="0.2">
      <c r="A106" t="s">
        <v>175</v>
      </c>
      <c r="B106">
        <f>C9+B52-B70</f>
        <v>1980</v>
      </c>
      <c r="C106">
        <f>B106+C52-C70</f>
        <v>2980</v>
      </c>
      <c r="D106">
        <f>C106+D52-D70</f>
        <v>3240</v>
      </c>
      <c r="E106">
        <f>D106+E52-E70</f>
        <v>3940</v>
      </c>
      <c r="F106">
        <f>E106+F52-F70</f>
        <v>4240</v>
      </c>
      <c r="G106">
        <f>F106+G52-G70</f>
        <v>3630</v>
      </c>
    </row>
    <row r="107" spans="1:8" x14ac:dyDescent="0.2">
      <c r="A107" t="s">
        <v>230</v>
      </c>
      <c r="B107">
        <f t="shared" ref="B107:G107" si="13">C53</f>
        <v>1350</v>
      </c>
      <c r="C107">
        <f t="shared" si="13"/>
        <v>1500</v>
      </c>
      <c r="D107">
        <f t="shared" si="13"/>
        <v>1950</v>
      </c>
      <c r="E107">
        <f t="shared" si="13"/>
        <v>1800</v>
      </c>
      <c r="F107">
        <f t="shared" si="13"/>
        <v>1425</v>
      </c>
      <c r="G107">
        <f t="shared" si="13"/>
        <v>1050</v>
      </c>
    </row>
    <row r="108" spans="1:8" x14ac:dyDescent="0.2">
      <c r="A108" t="s">
        <v>301</v>
      </c>
      <c r="B108">
        <v>4000</v>
      </c>
      <c r="C108">
        <v>4000</v>
      </c>
      <c r="D108">
        <v>4000</v>
      </c>
      <c r="E108">
        <v>4000</v>
      </c>
      <c r="F108">
        <v>4000</v>
      </c>
      <c r="G108">
        <v>4000</v>
      </c>
    </row>
    <row r="109" spans="1:8" x14ac:dyDescent="0.2">
      <c r="A109" t="s">
        <v>302</v>
      </c>
      <c r="B109">
        <v>1200</v>
      </c>
      <c r="C109">
        <v>1200</v>
      </c>
      <c r="D109">
        <v>1200</v>
      </c>
      <c r="E109">
        <v>1200</v>
      </c>
      <c r="F109">
        <v>1200</v>
      </c>
      <c r="G109">
        <v>1300</v>
      </c>
    </row>
    <row r="110" spans="1:8" x14ac:dyDescent="0.2">
      <c r="A110" t="s">
        <v>183</v>
      </c>
      <c r="B110">
        <f t="shared" ref="B110:G110" si="14">SUM(B103:B108)-B109</f>
        <v>7870</v>
      </c>
      <c r="C110">
        <f t="shared" si="14"/>
        <v>7530</v>
      </c>
      <c r="D110">
        <f t="shared" si="14"/>
        <v>8239.9999999990505</v>
      </c>
      <c r="E110">
        <f t="shared" si="14"/>
        <v>8789.9999999990287</v>
      </c>
      <c r="F110">
        <f t="shared" si="14"/>
        <v>8714.9999999991996</v>
      </c>
      <c r="G110">
        <f t="shared" si="14"/>
        <v>7629.9999999992724</v>
      </c>
    </row>
    <row r="111" spans="1:8" x14ac:dyDescent="0.2">
      <c r="B111" t="s">
        <v>310</v>
      </c>
    </row>
    <row r="112" spans="1:8" x14ac:dyDescent="0.2">
      <c r="A112" t="s">
        <v>186</v>
      </c>
      <c r="B112">
        <f>C13+B71-(B75+B76)</f>
        <v>1350</v>
      </c>
      <c r="C112">
        <f>B112+C71-(C75+C76)</f>
        <v>1500</v>
      </c>
      <c r="D112">
        <f>C112+D71-(D75+D76)</f>
        <v>1950</v>
      </c>
      <c r="E112">
        <f>D112+E71-(E75+E76)</f>
        <v>1800</v>
      </c>
      <c r="F112">
        <f>E112+F71-(F75+F76)</f>
        <v>1425</v>
      </c>
      <c r="G112">
        <f>F112+G71-(G75+G76)</f>
        <v>1050</v>
      </c>
    </row>
    <row r="113" spans="1:7" x14ac:dyDescent="0.2">
      <c r="A113" t="s">
        <v>234</v>
      </c>
      <c r="B113">
        <f>C15+B61</f>
        <v>266.5</v>
      </c>
      <c r="C113">
        <f>B113+C61</f>
        <v>342.85416666666669</v>
      </c>
      <c r="D113">
        <v>0</v>
      </c>
      <c r="E113">
        <f>D113+E61</f>
        <v>152.11588975694764</v>
      </c>
      <c r="F113">
        <f>E113+F61</f>
        <v>283.20868276186991</v>
      </c>
      <c r="G113">
        <v>0</v>
      </c>
    </row>
    <row r="114" spans="1:7" x14ac:dyDescent="0.2">
      <c r="A114" t="s">
        <v>290</v>
      </c>
      <c r="B114">
        <f>B86</f>
        <v>0</v>
      </c>
      <c r="C114">
        <f>0 +C86</f>
        <v>-5.6843418860808015E-14</v>
      </c>
      <c r="D114">
        <f>0+D86</f>
        <v>462.36848958238488</v>
      </c>
      <c r="E114">
        <f>0+E86</f>
        <v>516.30114917013555</v>
      </c>
      <c r="F114">
        <f>F86</f>
        <v>488.56916665800202</v>
      </c>
      <c r="G114">
        <v>0</v>
      </c>
    </row>
    <row r="115" spans="1:7" x14ac:dyDescent="0.2">
      <c r="A115" t="s">
        <v>292</v>
      </c>
      <c r="B115">
        <f>B87</f>
        <v>1533.75</v>
      </c>
      <c r="C115">
        <f>B115+C87</f>
        <v>1533.75</v>
      </c>
      <c r="D115">
        <f>C115+D87</f>
        <v>1533.75</v>
      </c>
      <c r="E115">
        <f>D115+E87</f>
        <v>2639.6109493531903</v>
      </c>
      <c r="F115">
        <f>E87</f>
        <v>1105.8609493531906</v>
      </c>
      <c r="G115">
        <f>F115</f>
        <v>1105.8609493531906</v>
      </c>
    </row>
    <row r="116" spans="1:7" x14ac:dyDescent="0.2">
      <c r="A116" t="s">
        <v>291</v>
      </c>
      <c r="B116">
        <f>B88</f>
        <v>0</v>
      </c>
      <c r="C116">
        <f>B88</f>
        <v>0</v>
      </c>
      <c r="D116">
        <f>B88</f>
        <v>0</v>
      </c>
      <c r="E116">
        <f>B88</f>
        <v>0</v>
      </c>
      <c r="F116">
        <f>B88</f>
        <v>0</v>
      </c>
      <c r="G116">
        <f>B88</f>
        <v>0</v>
      </c>
    </row>
    <row r="117" spans="1:7" x14ac:dyDescent="0.2">
      <c r="A117" t="s">
        <v>252</v>
      </c>
      <c r="B117">
        <f>C16</f>
        <v>1000</v>
      </c>
      <c r="C117">
        <f>C16</f>
        <v>1000</v>
      </c>
      <c r="D117">
        <f>C16</f>
        <v>1000</v>
      </c>
      <c r="E117">
        <f>C16</f>
        <v>1000</v>
      </c>
      <c r="F117">
        <f>C16</f>
        <v>1000</v>
      </c>
      <c r="G117">
        <f>C16</f>
        <v>1000</v>
      </c>
    </row>
    <row r="118" spans="1:7" x14ac:dyDescent="0.2">
      <c r="A118" t="s">
        <v>303</v>
      </c>
      <c r="B118">
        <f>C17+C18+B62</f>
        <v>3719.75</v>
      </c>
      <c r="C118">
        <f>B118+C62</f>
        <v>3834.28125</v>
      </c>
      <c r="D118">
        <f>C118+D62</f>
        <v>3974.7669270833335</v>
      </c>
      <c r="E118">
        <f>D118+E62</f>
        <v>4202.9407617187553</v>
      </c>
      <c r="F118">
        <f>E118+F62</f>
        <v>4399.5799512261383</v>
      </c>
      <c r="G118">
        <f>F118+G62</f>
        <v>4461.3578006460821</v>
      </c>
    </row>
    <row r="119" spans="1:7" x14ac:dyDescent="0.2">
      <c r="A119" t="s">
        <v>304</v>
      </c>
      <c r="B119">
        <f t="shared" ref="B119:G119" si="15">SUM(B112:B118)</f>
        <v>7870</v>
      </c>
      <c r="C119">
        <f t="shared" si="15"/>
        <v>8210.8854166666679</v>
      </c>
      <c r="D119">
        <f t="shared" si="15"/>
        <v>8920.8854166657184</v>
      </c>
      <c r="E119">
        <f t="shared" si="15"/>
        <v>10310.968749999029</v>
      </c>
      <c r="F119">
        <f t="shared" si="15"/>
        <v>8702.2187499991996</v>
      </c>
      <c r="G119">
        <f t="shared" si="15"/>
        <v>7617.2187499992724</v>
      </c>
    </row>
    <row r="122" spans="1:7" x14ac:dyDescent="0.2">
      <c r="A122" t="s">
        <v>308</v>
      </c>
    </row>
    <row r="124" spans="1:7" x14ac:dyDescent="0.2">
      <c r="A124" t="s">
        <v>309</v>
      </c>
    </row>
    <row r="125" spans="1:7" x14ac:dyDescent="0.2">
      <c r="A125" t="s">
        <v>310</v>
      </c>
    </row>
    <row r="126" spans="1:7" x14ac:dyDescent="0.2">
      <c r="A126" t="s">
        <v>288</v>
      </c>
    </row>
    <row r="127" spans="1:7" x14ac:dyDescent="0.2">
      <c r="A127" t="s">
        <v>311</v>
      </c>
      <c r="B127">
        <v>0.1</v>
      </c>
    </row>
    <row r="128" spans="1:7" x14ac:dyDescent="0.2">
      <c r="A128" t="s">
        <v>312</v>
      </c>
      <c r="B128">
        <v>0.1</v>
      </c>
    </row>
    <row r="129" spans="1:2" x14ac:dyDescent="0.2">
      <c r="A129" t="s">
        <v>314</v>
      </c>
      <c r="B129">
        <v>0.1</v>
      </c>
    </row>
    <row r="130" spans="1:2" x14ac:dyDescent="0.2">
      <c r="A130" t="s">
        <v>315</v>
      </c>
      <c r="B130">
        <v>0.1</v>
      </c>
    </row>
    <row r="131" spans="1:2" x14ac:dyDescent="0.2">
      <c r="A131" t="s">
        <v>316</v>
      </c>
      <c r="B131">
        <v>0.1</v>
      </c>
    </row>
    <row r="132" spans="1:2" x14ac:dyDescent="0.2">
      <c r="A132" t="s">
        <v>313</v>
      </c>
      <c r="B132">
        <v>0.1</v>
      </c>
    </row>
    <row r="133" spans="1:2" x14ac:dyDescent="0.2">
      <c r="A133" t="s">
        <v>289</v>
      </c>
    </row>
    <row r="134" spans="1:2" x14ac:dyDescent="0.2">
      <c r="A134" t="s">
        <v>317</v>
      </c>
      <c r="B134">
        <v>0.1</v>
      </c>
    </row>
    <row r="135" spans="1:2" x14ac:dyDescent="0.2">
      <c r="A135" t="s">
        <v>318</v>
      </c>
      <c r="B135">
        <v>0.1</v>
      </c>
    </row>
    <row r="136" spans="1:2" x14ac:dyDescent="0.2">
      <c r="A136" t="s">
        <v>319</v>
      </c>
      <c r="B136">
        <v>0.1</v>
      </c>
    </row>
    <row r="137" spans="1:2" x14ac:dyDescent="0.2">
      <c r="A137" t="s">
        <v>320</v>
      </c>
      <c r="B137">
        <v>0.1</v>
      </c>
    </row>
    <row r="138" spans="1:2" x14ac:dyDescent="0.2">
      <c r="A138" t="s">
        <v>290</v>
      </c>
    </row>
    <row r="139" spans="1:2" x14ac:dyDescent="0.2">
      <c r="A139" t="s">
        <v>321</v>
      </c>
      <c r="B139">
        <v>0.1</v>
      </c>
    </row>
    <row r="140" spans="1:2" x14ac:dyDescent="0.2">
      <c r="A140" t="s">
        <v>322</v>
      </c>
      <c r="B140">
        <v>0.1</v>
      </c>
    </row>
    <row r="141" spans="1:2" x14ac:dyDescent="0.2">
      <c r="A141" t="s">
        <v>323</v>
      </c>
      <c r="B141">
        <v>0.1</v>
      </c>
    </row>
    <row r="142" spans="1:2" x14ac:dyDescent="0.2">
      <c r="A142" t="s">
        <v>324</v>
      </c>
      <c r="B142">
        <v>0.1</v>
      </c>
    </row>
    <row r="143" spans="1:2" x14ac:dyDescent="0.2">
      <c r="A143" t="s">
        <v>325</v>
      </c>
      <c r="B143">
        <v>0.1</v>
      </c>
    </row>
    <row r="144" spans="1:2" x14ac:dyDescent="0.2">
      <c r="A144" t="s">
        <v>292</v>
      </c>
    </row>
    <row r="145" spans="1:6" x14ac:dyDescent="0.2">
      <c r="A145" t="s">
        <v>326</v>
      </c>
      <c r="B145">
        <v>0.1</v>
      </c>
      <c r="F145" s="1" t="s">
        <v>0</v>
      </c>
    </row>
    <row r="146" spans="1:6" x14ac:dyDescent="0.2">
      <c r="A146" t="s">
        <v>327</v>
      </c>
      <c r="B146">
        <v>0.1</v>
      </c>
    </row>
    <row r="147" spans="1:6" x14ac:dyDescent="0.2">
      <c r="A147" t="s">
        <v>328</v>
      </c>
      <c r="B147">
        <v>0.1</v>
      </c>
      <c r="F147" t="s">
        <v>1</v>
      </c>
    </row>
    <row r="148" spans="1:6" x14ac:dyDescent="0.2">
      <c r="A148" t="s">
        <v>329</v>
      </c>
      <c r="B148">
        <v>0.1</v>
      </c>
    </row>
    <row r="149" spans="1:6" x14ac:dyDescent="0.2">
      <c r="A149" t="s">
        <v>291</v>
      </c>
    </row>
    <row r="150" spans="1:6" x14ac:dyDescent="0.2">
      <c r="A150" t="s">
        <v>330</v>
      </c>
      <c r="B150">
        <v>0.1</v>
      </c>
    </row>
    <row r="152" spans="1:6" x14ac:dyDescent="0.2">
      <c r="A152" t="s">
        <v>331</v>
      </c>
    </row>
    <row r="153" spans="1:6" x14ac:dyDescent="0.2">
      <c r="A153" t="s">
        <v>332</v>
      </c>
      <c r="B153" t="s">
        <v>589</v>
      </c>
      <c r="C153">
        <v>809.11458333333326</v>
      </c>
    </row>
    <row r="154" spans="1:6" x14ac:dyDescent="0.2">
      <c r="A154" t="s">
        <v>333</v>
      </c>
      <c r="B154" t="s">
        <v>590</v>
      </c>
      <c r="C154">
        <v>0</v>
      </c>
    </row>
    <row r="155" spans="1:6" x14ac:dyDescent="0.2">
      <c r="A155" t="s">
        <v>334</v>
      </c>
      <c r="B155" t="s">
        <v>591</v>
      </c>
      <c r="C155">
        <v>0</v>
      </c>
    </row>
    <row r="156" spans="1:6" x14ac:dyDescent="0.2">
      <c r="A156" t="s">
        <v>335</v>
      </c>
      <c r="B156" t="s">
        <v>592</v>
      </c>
      <c r="C156">
        <v>0</v>
      </c>
    </row>
    <row r="157" spans="1:6" x14ac:dyDescent="0.2">
      <c r="A157" t="s">
        <v>336</v>
      </c>
      <c r="B157" t="s">
        <v>593</v>
      </c>
      <c r="C157">
        <v>0</v>
      </c>
    </row>
    <row r="158" spans="1:6" x14ac:dyDescent="0.2">
      <c r="A158" t="s">
        <v>337</v>
      </c>
      <c r="B158" t="s">
        <v>594</v>
      </c>
      <c r="C158">
        <v>0</v>
      </c>
    </row>
    <row r="159" spans="1:6" x14ac:dyDescent="0.2">
      <c r="A159" t="s">
        <v>338</v>
      </c>
      <c r="B159" t="s">
        <v>595</v>
      </c>
      <c r="C159">
        <v>680.88541666666674</v>
      </c>
    </row>
    <row r="160" spans="1:6" x14ac:dyDescent="0.2">
      <c r="A160" t="s">
        <v>339</v>
      </c>
      <c r="B160" t="s">
        <v>596</v>
      </c>
      <c r="C160">
        <v>0</v>
      </c>
    </row>
    <row r="161" spans="1:5" x14ac:dyDescent="0.2">
      <c r="A161" t="s">
        <v>340</v>
      </c>
      <c r="B161" t="s">
        <v>597</v>
      </c>
      <c r="C161">
        <v>0</v>
      </c>
    </row>
    <row r="162" spans="1:5" x14ac:dyDescent="0.2">
      <c r="A162" t="s">
        <v>341</v>
      </c>
      <c r="B162" t="s">
        <v>598</v>
      </c>
      <c r="C162">
        <v>0</v>
      </c>
    </row>
    <row r="163" spans="1:5" x14ac:dyDescent="0.2">
      <c r="A163" t="s">
        <v>342</v>
      </c>
      <c r="B163" t="s">
        <v>599</v>
      </c>
      <c r="C163">
        <v>0</v>
      </c>
    </row>
    <row r="164" spans="1:5" x14ac:dyDescent="0.2">
      <c r="A164" t="s">
        <v>343</v>
      </c>
      <c r="B164" t="s">
        <v>372</v>
      </c>
      <c r="C164">
        <v>-5.6843418860808015E-14</v>
      </c>
    </row>
    <row r="165" spans="1:5" x14ac:dyDescent="0.2">
      <c r="A165" t="s">
        <v>344</v>
      </c>
      <c r="B165" t="s">
        <v>600</v>
      </c>
      <c r="C165">
        <v>462.36848958238488</v>
      </c>
    </row>
    <row r="166" spans="1:5" x14ac:dyDescent="0.2">
      <c r="A166" t="s">
        <v>345</v>
      </c>
      <c r="B166" t="s">
        <v>601</v>
      </c>
      <c r="C166">
        <v>516.30114917013555</v>
      </c>
    </row>
    <row r="167" spans="1:5" x14ac:dyDescent="0.2">
      <c r="A167" t="s">
        <v>346</v>
      </c>
      <c r="B167" t="s">
        <v>602</v>
      </c>
      <c r="C167">
        <v>488.56916665800202</v>
      </c>
    </row>
    <row r="168" spans="1:5" x14ac:dyDescent="0.2">
      <c r="A168" t="s">
        <v>347</v>
      </c>
      <c r="B168" t="s">
        <v>603</v>
      </c>
      <c r="C168">
        <v>1533.75</v>
      </c>
    </row>
    <row r="169" spans="1:5" x14ac:dyDescent="0.2">
      <c r="A169" t="s">
        <v>348</v>
      </c>
      <c r="B169" t="s">
        <v>377</v>
      </c>
      <c r="C169">
        <v>0</v>
      </c>
    </row>
    <row r="170" spans="1:5" x14ac:dyDescent="0.2">
      <c r="A170" t="s">
        <v>349</v>
      </c>
      <c r="B170" t="s">
        <v>604</v>
      </c>
      <c r="C170">
        <v>0</v>
      </c>
    </row>
    <row r="171" spans="1:5" x14ac:dyDescent="0.2">
      <c r="A171" t="s">
        <v>350</v>
      </c>
      <c r="B171" t="s">
        <v>605</v>
      </c>
      <c r="C171">
        <v>1105.8609493531906</v>
      </c>
    </row>
    <row r="172" spans="1:5" x14ac:dyDescent="0.2">
      <c r="A172" t="s">
        <v>351</v>
      </c>
      <c r="B172" t="s">
        <v>380</v>
      </c>
      <c r="C172">
        <v>0</v>
      </c>
    </row>
    <row r="175" spans="1:5" x14ac:dyDescent="0.2">
      <c r="A175" t="s">
        <v>352</v>
      </c>
    </row>
    <row r="176" spans="1:5" x14ac:dyDescent="0.2">
      <c r="C176" t="s">
        <v>355</v>
      </c>
      <c r="D176">
        <f t="shared" ref="D176:D181" si="16">B127*C153/12</f>
        <v>6.7426215277777777</v>
      </c>
      <c r="E176" t="s">
        <v>589</v>
      </c>
    </row>
    <row r="177" spans="1:5" x14ac:dyDescent="0.2">
      <c r="A177" t="s">
        <v>353</v>
      </c>
      <c r="B177">
        <f>D198-D199</f>
        <v>-97.736998923196424</v>
      </c>
      <c r="D177">
        <f t="shared" si="16"/>
        <v>0</v>
      </c>
      <c r="E177" t="s">
        <v>590</v>
      </c>
    </row>
    <row r="178" spans="1:5" x14ac:dyDescent="0.2">
      <c r="D178">
        <f t="shared" si="16"/>
        <v>0</v>
      </c>
      <c r="E178" t="s">
        <v>591</v>
      </c>
    </row>
    <row r="179" spans="1:5" x14ac:dyDescent="0.2">
      <c r="D179">
        <f t="shared" si="16"/>
        <v>0</v>
      </c>
      <c r="E179" t="s">
        <v>592</v>
      </c>
    </row>
    <row r="180" spans="1:5" x14ac:dyDescent="0.2">
      <c r="D180">
        <f t="shared" si="16"/>
        <v>0</v>
      </c>
      <c r="E180" t="s">
        <v>593</v>
      </c>
    </row>
    <row r="181" spans="1:5" x14ac:dyDescent="0.2">
      <c r="D181">
        <f t="shared" si="16"/>
        <v>0</v>
      </c>
      <c r="E181" t="s">
        <v>594</v>
      </c>
    </row>
    <row r="182" spans="1:5" x14ac:dyDescent="0.2">
      <c r="D182">
        <f>B134*C159/12</f>
        <v>5.6740451388888893</v>
      </c>
      <c r="E182" t="s">
        <v>595</v>
      </c>
    </row>
    <row r="183" spans="1:5" x14ac:dyDescent="0.2">
      <c r="D183">
        <f>B135*C160/12</f>
        <v>0</v>
      </c>
      <c r="E183" t="s">
        <v>596</v>
      </c>
    </row>
    <row r="184" spans="1:5" x14ac:dyDescent="0.2">
      <c r="D184">
        <f>B136*C161/12</f>
        <v>0</v>
      </c>
      <c r="E184" t="s">
        <v>597</v>
      </c>
    </row>
    <row r="185" spans="1:5" x14ac:dyDescent="0.2">
      <c r="D185">
        <f>B137*C162/12</f>
        <v>0</v>
      </c>
      <c r="E185" t="s">
        <v>598</v>
      </c>
    </row>
    <row r="186" spans="1:5" x14ac:dyDescent="0.2">
      <c r="D186">
        <f>B139*C237/12</f>
        <v>0</v>
      </c>
      <c r="E186" t="s">
        <v>599</v>
      </c>
    </row>
    <row r="187" spans="1:5" x14ac:dyDescent="0.2">
      <c r="C187" t="s">
        <v>356</v>
      </c>
      <c r="D187">
        <f>B140*C238/12</f>
        <v>-4.7369515717340012E-16</v>
      </c>
      <c r="E187" t="s">
        <v>372</v>
      </c>
    </row>
    <row r="188" spans="1:5" x14ac:dyDescent="0.2">
      <c r="D188">
        <f>B141*C239/12</f>
        <v>3.8530707465198741</v>
      </c>
      <c r="E188" t="s">
        <v>600</v>
      </c>
    </row>
    <row r="189" spans="1:5" x14ac:dyDescent="0.2">
      <c r="D189">
        <f>B142*C240/12</f>
        <v>4.3025095764177967</v>
      </c>
      <c r="E189" t="s">
        <v>601</v>
      </c>
    </row>
    <row r="190" spans="1:5" x14ac:dyDescent="0.2">
      <c r="D190">
        <f>B143*C241/12</f>
        <v>4.0714097221500172</v>
      </c>
      <c r="E190" t="s">
        <v>602</v>
      </c>
    </row>
    <row r="191" spans="1:5" x14ac:dyDescent="0.2">
      <c r="D191">
        <f>B145*C242/12</f>
        <v>12.78125</v>
      </c>
      <c r="E191" t="s">
        <v>603</v>
      </c>
    </row>
    <row r="192" spans="1:5" x14ac:dyDescent="0.2">
      <c r="D192">
        <f>B145*C243/12</f>
        <v>0</v>
      </c>
      <c r="E192" t="s">
        <v>377</v>
      </c>
    </row>
    <row r="193" spans="1:5" x14ac:dyDescent="0.2">
      <c r="D193">
        <f>B147*C244/12</f>
        <v>0</v>
      </c>
      <c r="E193" t="s">
        <v>604</v>
      </c>
    </row>
    <row r="194" spans="1:5" x14ac:dyDescent="0.2">
      <c r="D194">
        <f>B148*C245/12</f>
        <v>9.215507911276589</v>
      </c>
      <c r="E194" t="s">
        <v>605</v>
      </c>
    </row>
    <row r="195" spans="1:5" x14ac:dyDescent="0.2">
      <c r="D195">
        <f>B150*C246/12</f>
        <v>0</v>
      </c>
      <c r="E195" t="s">
        <v>380</v>
      </c>
    </row>
    <row r="198" spans="1:5" x14ac:dyDescent="0.2">
      <c r="C198" t="s">
        <v>357</v>
      </c>
      <c r="D198">
        <f>SUM(B93,C93,D93,E93,F93,G93)</f>
        <v>23.764756944444446</v>
      </c>
    </row>
    <row r="199" spans="1:5" x14ac:dyDescent="0.2">
      <c r="C199" t="s">
        <v>358</v>
      </c>
      <c r="D199">
        <f>SUM(B94,C94,D94,E94,F94,G94)</f>
        <v>121.50175586764087</v>
      </c>
    </row>
    <row r="201" spans="1:5" x14ac:dyDescent="0.2">
      <c r="A201" t="s">
        <v>354</v>
      </c>
    </row>
    <row r="203" spans="1:5" x14ac:dyDescent="0.2">
      <c r="A203">
        <v>0</v>
      </c>
      <c r="B203" t="s">
        <v>359</v>
      </c>
      <c r="C203">
        <f>C153+C159</f>
        <v>1490</v>
      </c>
      <c r="D203" t="s">
        <v>359</v>
      </c>
      <c r="E203">
        <f>B70</f>
        <v>1490</v>
      </c>
    </row>
    <row r="204" spans="1:5" x14ac:dyDescent="0.2">
      <c r="A204">
        <v>0</v>
      </c>
      <c r="B204" t="s">
        <v>359</v>
      </c>
      <c r="C204">
        <f>C154+C160</f>
        <v>0</v>
      </c>
      <c r="D204" t="s">
        <v>359</v>
      </c>
      <c r="E204">
        <f>C70</f>
        <v>800</v>
      </c>
    </row>
    <row r="205" spans="1:5" x14ac:dyDescent="0.2">
      <c r="A205">
        <v>0</v>
      </c>
      <c r="B205" t="s">
        <v>359</v>
      </c>
      <c r="C205">
        <f>C155+C161</f>
        <v>0</v>
      </c>
      <c r="D205" t="s">
        <v>359</v>
      </c>
      <c r="E205">
        <f>D70</f>
        <v>1740</v>
      </c>
    </row>
    <row r="206" spans="1:5" x14ac:dyDescent="0.2">
      <c r="A206">
        <v>0</v>
      </c>
      <c r="B206" t="s">
        <v>359</v>
      </c>
      <c r="C206">
        <f>C156+C162</f>
        <v>0</v>
      </c>
      <c r="D206" t="s">
        <v>359</v>
      </c>
      <c r="E206">
        <f>E70</f>
        <v>1900</v>
      </c>
    </row>
    <row r="207" spans="1:5" x14ac:dyDescent="0.2">
      <c r="A207">
        <v>0</v>
      </c>
      <c r="B207" t="s">
        <v>359</v>
      </c>
      <c r="C207">
        <f>C157</f>
        <v>0</v>
      </c>
      <c r="D207" t="s">
        <v>359</v>
      </c>
      <c r="E207">
        <f>F70</f>
        <v>2100</v>
      </c>
    </row>
    <row r="208" spans="1:5" x14ac:dyDescent="0.2">
      <c r="A208">
        <v>0</v>
      </c>
      <c r="B208" t="s">
        <v>359</v>
      </c>
      <c r="C208">
        <f>C158</f>
        <v>0</v>
      </c>
      <c r="D208" t="s">
        <v>359</v>
      </c>
      <c r="E208">
        <f>G70</f>
        <v>2510</v>
      </c>
    </row>
    <row r="209" spans="1:3" x14ac:dyDescent="0.2">
      <c r="C209">
        <v>0</v>
      </c>
    </row>
    <row r="210" spans="1:3" x14ac:dyDescent="0.2">
      <c r="A210">
        <f>A265</f>
        <v>250</v>
      </c>
      <c r="B210" t="s">
        <v>360</v>
      </c>
      <c r="C210">
        <f>B97+B80-C153-C159+C237+C242+C246-8.75</f>
        <v>250</v>
      </c>
    </row>
    <row r="211" spans="1:3" x14ac:dyDescent="0.2">
      <c r="A211">
        <f>A265</f>
        <v>250</v>
      </c>
      <c r="B211" t="s">
        <v>360</v>
      </c>
      <c r="C211">
        <f>C97+C80+D176+D182-D186-D191-D195+C153-C154-C160-C237+C238+C243-8.75</f>
        <v>249.99999999999994</v>
      </c>
    </row>
    <row r="212" spans="1:3" x14ac:dyDescent="0.2">
      <c r="A212">
        <f>A265</f>
        <v>250</v>
      </c>
      <c r="B212" t="s">
        <v>360</v>
      </c>
      <c r="C212">
        <f>D97+D80+D177+D182+D183-D187-D191-D195-D192-D193+C154-C155-C161-C238+C239+C244-8.75</f>
        <v>249.99999999905162</v>
      </c>
    </row>
    <row r="213" spans="1:3" x14ac:dyDescent="0.2">
      <c r="A213">
        <f>A265</f>
        <v>250</v>
      </c>
      <c r="B213" t="s">
        <v>360</v>
      </c>
      <c r="C213">
        <f>E97+E80+D182+D178+D183+D184-D188-D192-D193-D195-C156+C159-C239+C240-C242+C155-C162+C245-8.75</f>
        <v>249.99999999902855</v>
      </c>
    </row>
    <row r="214" spans="1:3" x14ac:dyDescent="0.2">
      <c r="A214">
        <f>A265</f>
        <v>250</v>
      </c>
      <c r="B214" t="s">
        <v>360</v>
      </c>
      <c r="C214">
        <f>F97+F80+D179+D183+D184+D185-D189-D192-D193-D194-D195+C156-C157+C160-C240+C241-C243-8.75</f>
        <v>249.99999999920067</v>
      </c>
    </row>
    <row r="215" spans="1:3" x14ac:dyDescent="0.2">
      <c r="A215">
        <f>A265</f>
        <v>250</v>
      </c>
      <c r="B215" t="s">
        <v>360</v>
      </c>
      <c r="C215">
        <f>G97+G80+D180+D184+D185-D190-D193-D194-D195+C157-C158+C161-C241-C244-8.75</f>
        <v>249.99999999927275</v>
      </c>
    </row>
    <row r="216" spans="1:3" x14ac:dyDescent="0.2">
      <c r="C216">
        <v>0</v>
      </c>
    </row>
    <row r="217" spans="1:3" x14ac:dyDescent="0.2">
      <c r="C217">
        <v>0</v>
      </c>
    </row>
    <row r="218" spans="1:3" x14ac:dyDescent="0.2">
      <c r="C218">
        <v>0</v>
      </c>
    </row>
    <row r="219" spans="1:3" x14ac:dyDescent="0.2">
      <c r="C219" t="s">
        <v>516</v>
      </c>
    </row>
    <row r="220" spans="1:3" x14ac:dyDescent="0.2">
      <c r="C220" t="s">
        <v>517</v>
      </c>
    </row>
    <row r="221" spans="1:3" x14ac:dyDescent="0.2">
      <c r="C221">
        <v>0</v>
      </c>
    </row>
    <row r="222" spans="1:3" x14ac:dyDescent="0.2">
      <c r="C222">
        <v>0</v>
      </c>
    </row>
    <row r="223" spans="1:3" x14ac:dyDescent="0.2">
      <c r="C223" t="s">
        <v>519</v>
      </c>
    </row>
    <row r="224" spans="1:3" x14ac:dyDescent="0.2">
      <c r="C224" t="s">
        <v>518</v>
      </c>
    </row>
    <row r="225" spans="1:6" x14ac:dyDescent="0.2">
      <c r="C225">
        <v>0</v>
      </c>
    </row>
    <row r="226" spans="1:6" x14ac:dyDescent="0.2">
      <c r="C226" t="s">
        <v>520</v>
      </c>
    </row>
    <row r="227" spans="1:6" x14ac:dyDescent="0.2">
      <c r="C227" t="s">
        <v>521</v>
      </c>
    </row>
    <row r="228" spans="1:6" x14ac:dyDescent="0.2">
      <c r="C228">
        <v>0</v>
      </c>
    </row>
    <row r="229" spans="1:6" x14ac:dyDescent="0.2">
      <c r="A229">
        <v>0</v>
      </c>
      <c r="B229" t="s">
        <v>359</v>
      </c>
      <c r="C229" s="5">
        <f>A257</f>
        <v>0.1</v>
      </c>
      <c r="D229" t="s">
        <v>359</v>
      </c>
      <c r="E229" s="5">
        <v>1</v>
      </c>
    </row>
    <row r="230" spans="1:6" x14ac:dyDescent="0.2">
      <c r="A230">
        <v>0</v>
      </c>
      <c r="B230" t="s">
        <v>359</v>
      </c>
      <c r="C230" s="5">
        <f>A258</f>
        <v>0.1</v>
      </c>
      <c r="D230" t="s">
        <v>359</v>
      </c>
      <c r="E230" s="5">
        <v>1</v>
      </c>
    </row>
    <row r="231" spans="1:6" x14ac:dyDescent="0.2">
      <c r="A231">
        <v>0</v>
      </c>
      <c r="B231" t="s">
        <v>359</v>
      </c>
      <c r="C231" s="5">
        <f>A259</f>
        <v>0.8</v>
      </c>
      <c r="D231" t="s">
        <v>359</v>
      </c>
      <c r="E231" s="5">
        <v>1</v>
      </c>
    </row>
    <row r="232" spans="1:6" x14ac:dyDescent="0.2">
      <c r="A232">
        <v>0</v>
      </c>
      <c r="B232" t="s">
        <v>359</v>
      </c>
      <c r="C232" s="15">
        <f>A261</f>
        <v>0</v>
      </c>
      <c r="D232" t="s">
        <v>359</v>
      </c>
      <c r="E232" s="5">
        <v>1</v>
      </c>
    </row>
    <row r="233" spans="1:6" x14ac:dyDescent="0.2">
      <c r="A233">
        <v>0</v>
      </c>
      <c r="B233" t="s">
        <v>359</v>
      </c>
      <c r="C233" s="5">
        <f>A262</f>
        <v>1</v>
      </c>
      <c r="D233" t="s">
        <v>359</v>
      </c>
      <c r="E233" s="5">
        <v>1</v>
      </c>
    </row>
    <row r="234" spans="1:6" x14ac:dyDescent="0.2">
      <c r="C234">
        <v>0</v>
      </c>
    </row>
    <row r="235" spans="1:6" x14ac:dyDescent="0.2">
      <c r="C235" t="s">
        <v>522</v>
      </c>
    </row>
    <row r="236" spans="1:6" x14ac:dyDescent="0.2">
      <c r="A236">
        <v>0</v>
      </c>
      <c r="B236" t="s">
        <v>359</v>
      </c>
      <c r="C236">
        <f>A265</f>
        <v>250</v>
      </c>
      <c r="D236">
        <v>0</v>
      </c>
      <c r="E236" t="s">
        <v>359</v>
      </c>
      <c r="F236">
        <f>C153</f>
        <v>809.11458333333326</v>
      </c>
    </row>
    <row r="237" spans="1:6" x14ac:dyDescent="0.2">
      <c r="A237">
        <v>0</v>
      </c>
      <c r="B237" t="s">
        <v>359</v>
      </c>
      <c r="C237">
        <f>C163</f>
        <v>0</v>
      </c>
      <c r="D237">
        <v>0</v>
      </c>
      <c r="E237" t="s">
        <v>359</v>
      </c>
      <c r="F237">
        <f>C154</f>
        <v>0</v>
      </c>
    </row>
    <row r="238" spans="1:6" x14ac:dyDescent="0.2">
      <c r="A238">
        <v>0</v>
      </c>
      <c r="B238" t="s">
        <v>359</v>
      </c>
      <c r="C238">
        <f>C164</f>
        <v>-5.6843418860808015E-14</v>
      </c>
      <c r="D238">
        <v>0</v>
      </c>
      <c r="E238" t="s">
        <v>359</v>
      </c>
      <c r="F238">
        <f t="shared" ref="F238:F245" si="17">C155</f>
        <v>0</v>
      </c>
    </row>
    <row r="239" spans="1:6" x14ac:dyDescent="0.2">
      <c r="A239">
        <v>0</v>
      </c>
      <c r="B239" t="s">
        <v>359</v>
      </c>
      <c r="C239">
        <f t="shared" ref="C239:C244" si="18">C165</f>
        <v>462.36848958238488</v>
      </c>
      <c r="D239">
        <v>0</v>
      </c>
      <c r="E239" t="s">
        <v>359</v>
      </c>
      <c r="F239">
        <f t="shared" si="17"/>
        <v>0</v>
      </c>
    </row>
    <row r="240" spans="1:6" x14ac:dyDescent="0.2">
      <c r="A240">
        <v>0</v>
      </c>
      <c r="B240" t="s">
        <v>359</v>
      </c>
      <c r="C240">
        <f t="shared" si="18"/>
        <v>516.30114917013555</v>
      </c>
      <c r="D240">
        <v>0</v>
      </c>
      <c r="E240" t="s">
        <v>359</v>
      </c>
      <c r="F240">
        <f t="shared" si="17"/>
        <v>0</v>
      </c>
    </row>
    <row r="241" spans="1:6" x14ac:dyDescent="0.2">
      <c r="A241">
        <v>0</v>
      </c>
      <c r="B241" t="s">
        <v>359</v>
      </c>
      <c r="C241">
        <f t="shared" si="18"/>
        <v>488.56916665800202</v>
      </c>
      <c r="D241">
        <v>0</v>
      </c>
      <c r="E241" t="s">
        <v>359</v>
      </c>
      <c r="F241">
        <f t="shared" si="17"/>
        <v>0</v>
      </c>
    </row>
    <row r="242" spans="1:6" x14ac:dyDescent="0.2">
      <c r="A242">
        <v>0</v>
      </c>
      <c r="B242" t="s">
        <v>359</v>
      </c>
      <c r="C242">
        <f t="shared" si="18"/>
        <v>1533.75</v>
      </c>
      <c r="D242">
        <v>0</v>
      </c>
      <c r="E242" t="s">
        <v>359</v>
      </c>
      <c r="F242">
        <f t="shared" si="17"/>
        <v>680.88541666666674</v>
      </c>
    </row>
    <row r="243" spans="1:6" x14ac:dyDescent="0.2">
      <c r="A243">
        <v>0</v>
      </c>
      <c r="B243" t="s">
        <v>359</v>
      </c>
      <c r="C243">
        <f t="shared" si="18"/>
        <v>0</v>
      </c>
      <c r="D243">
        <v>0</v>
      </c>
      <c r="E243" t="s">
        <v>359</v>
      </c>
      <c r="F243">
        <f t="shared" si="17"/>
        <v>0</v>
      </c>
    </row>
    <row r="244" spans="1:6" x14ac:dyDescent="0.2">
      <c r="A244">
        <v>0</v>
      </c>
      <c r="B244" t="s">
        <v>359</v>
      </c>
      <c r="C244">
        <f t="shared" si="18"/>
        <v>0</v>
      </c>
      <c r="D244">
        <v>0</v>
      </c>
      <c r="E244" t="s">
        <v>359</v>
      </c>
      <c r="F244">
        <f t="shared" si="17"/>
        <v>0</v>
      </c>
    </row>
    <row r="245" spans="1:6" x14ac:dyDescent="0.2">
      <c r="A245">
        <v>0</v>
      </c>
      <c r="B245" t="s">
        <v>359</v>
      </c>
      <c r="C245">
        <f>C171</f>
        <v>1105.8609493531906</v>
      </c>
      <c r="D245">
        <v>0</v>
      </c>
      <c r="E245" t="s">
        <v>359</v>
      </c>
      <c r="F245">
        <f t="shared" si="17"/>
        <v>0</v>
      </c>
    </row>
    <row r="246" spans="1:6" x14ac:dyDescent="0.2">
      <c r="A246">
        <v>0</v>
      </c>
      <c r="B246" t="s">
        <v>359</v>
      </c>
      <c r="C246">
        <f>C172</f>
        <v>0</v>
      </c>
    </row>
    <row r="254" spans="1:6" x14ac:dyDescent="0.2">
      <c r="B254" t="s">
        <v>525</v>
      </c>
      <c r="C254" t="s">
        <v>526</v>
      </c>
    </row>
    <row r="255" spans="1:6" x14ac:dyDescent="0.2">
      <c r="A255" t="s">
        <v>568</v>
      </c>
      <c r="D255" t="s">
        <v>353</v>
      </c>
    </row>
    <row r="256" spans="1:6" x14ac:dyDescent="0.2">
      <c r="A256" t="s">
        <v>523</v>
      </c>
    </row>
    <row r="257" spans="1:4" x14ac:dyDescent="0.2">
      <c r="A257" s="5">
        <f>A368</f>
        <v>0.1</v>
      </c>
      <c r="B257">
        <f>SUM(B96:G96,B93:G93,B86:G88,B70:G70)</f>
        <v>16160.614511708158</v>
      </c>
      <c r="C257">
        <f>SUM(B95:G95,B94:G94,B84:G85,B79:G79)</f>
        <v>16173.395761708884</v>
      </c>
      <c r="D257">
        <f>B177</f>
        <v>-97.736998923196424</v>
      </c>
    </row>
    <row r="258" spans="1:4" x14ac:dyDescent="0.2">
      <c r="A258" s="5">
        <f>A369</f>
        <v>0.1</v>
      </c>
    </row>
    <row r="259" spans="1:4" x14ac:dyDescent="0.2">
      <c r="A259" s="5">
        <f>A370</f>
        <v>0.8</v>
      </c>
    </row>
    <row r="260" spans="1:4" x14ac:dyDescent="0.2">
      <c r="A260" t="s">
        <v>524</v>
      </c>
      <c r="B260">
        <f>B257-C257</f>
        <v>-12.781250000725777</v>
      </c>
    </row>
    <row r="261" spans="1:4" x14ac:dyDescent="0.2">
      <c r="A261" s="5">
        <f>A372</f>
        <v>0</v>
      </c>
    </row>
    <row r="262" spans="1:4" x14ac:dyDescent="0.2">
      <c r="A262" s="5">
        <f>A373</f>
        <v>1</v>
      </c>
    </row>
    <row r="264" spans="1:4" x14ac:dyDescent="0.2">
      <c r="A264" t="s">
        <v>527</v>
      </c>
    </row>
    <row r="265" spans="1:4" x14ac:dyDescent="0.2">
      <c r="A265">
        <f>A376</f>
        <v>250</v>
      </c>
    </row>
    <row r="271" spans="1:4" x14ac:dyDescent="0.2">
      <c r="A271" t="s">
        <v>528</v>
      </c>
    </row>
    <row r="273" spans="1:2" x14ac:dyDescent="0.2">
      <c r="A273" t="s">
        <v>533</v>
      </c>
      <c r="B273" t="s">
        <v>530</v>
      </c>
    </row>
    <row r="276" spans="1:2" x14ac:dyDescent="0.2">
      <c r="A276" t="s">
        <v>529</v>
      </c>
      <c r="B276">
        <v>-94.863248310000003</v>
      </c>
    </row>
    <row r="278" spans="1:2" x14ac:dyDescent="0.2">
      <c r="A278" t="s">
        <v>536</v>
      </c>
      <c r="B278">
        <v>-61.351657410000001</v>
      </c>
    </row>
    <row r="280" spans="1:2" x14ac:dyDescent="0.2">
      <c r="A280" t="s">
        <v>531</v>
      </c>
      <c r="B280">
        <v>28.344268710000001</v>
      </c>
    </row>
    <row r="282" spans="1:2" x14ac:dyDescent="0.2">
      <c r="A282" t="s">
        <v>532</v>
      </c>
    </row>
    <row r="284" spans="1:2" x14ac:dyDescent="0.2">
      <c r="A284" t="str">
        <f>A276</f>
        <v>1. Collections is equal  base data ie 10%,10%,80%</v>
      </c>
      <c r="B284">
        <v>-94.863248310000003</v>
      </c>
    </row>
    <row r="286" spans="1:2" x14ac:dyDescent="0.2">
      <c r="A286" t="str">
        <f>A278</f>
        <v>2. Collection is equal to given problem 10%,60%,30%</v>
      </c>
      <c r="B286">
        <v>-61.351657410000001</v>
      </c>
    </row>
    <row r="288" spans="1:2" x14ac:dyDescent="0.2">
      <c r="A288" t="str">
        <f>A280</f>
        <v>3. Collections is equal to optimal condition 0%,0%,100%</v>
      </c>
      <c r="B288">
        <v>28.344268710000001</v>
      </c>
    </row>
    <row r="290" spans="1:2" x14ac:dyDescent="0.2">
      <c r="A290" t="s">
        <v>534</v>
      </c>
    </row>
    <row r="293" spans="1:2" x14ac:dyDescent="0.2">
      <c r="A293" t="str">
        <f>A276</f>
        <v>1. Collections is equal  base data ie 10%,10%,80%</v>
      </c>
      <c r="B293">
        <v>-84.304209850000007</v>
      </c>
    </row>
    <row r="295" spans="1:2" x14ac:dyDescent="0.2">
      <c r="A295" t="str">
        <f>A278</f>
        <v>2. Collection is equal to given problem 10%,60%,30%</v>
      </c>
      <c r="B295">
        <v>-51.442258000000002</v>
      </c>
    </row>
    <row r="297" spans="1:2" x14ac:dyDescent="0.2">
      <c r="A297" t="str">
        <f>A280</f>
        <v>3. Collections is equal to optimal condition 0%,0%,100%</v>
      </c>
      <c r="B297">
        <v>38.444812640000002</v>
      </c>
    </row>
    <row r="299" spans="1:2" x14ac:dyDescent="0.2">
      <c r="A299" t="s">
        <v>535</v>
      </c>
    </row>
    <row r="301" spans="1:2" x14ac:dyDescent="0.2">
      <c r="A301" t="str">
        <f>A276</f>
        <v>1. Collections is equal  base data ie 10%,10%,80%</v>
      </c>
      <c r="B301">
        <v>-84.304209850000007</v>
      </c>
    </row>
    <row r="303" spans="1:2" x14ac:dyDescent="0.2">
      <c r="A303" t="str">
        <f>A278</f>
        <v>2. Collection is equal to given problem 10%,60%,30%</v>
      </c>
      <c r="B303">
        <v>-51.442258000000002</v>
      </c>
    </row>
    <row r="305" spans="1:7" x14ac:dyDescent="0.2">
      <c r="A305" t="str">
        <f>A280</f>
        <v>3. Collections is equal to optimal condition 0%,0%,100%</v>
      </c>
      <c r="B305">
        <v>38.444812640000002</v>
      </c>
    </row>
    <row r="309" spans="1:7" x14ac:dyDescent="0.2">
      <c r="A309" t="s">
        <v>537</v>
      </c>
      <c r="B309" t="s">
        <v>19</v>
      </c>
      <c r="C309" t="s">
        <v>20</v>
      </c>
      <c r="D309" t="s">
        <v>7</v>
      </c>
      <c r="E309" t="s">
        <v>8</v>
      </c>
      <c r="F309" t="s">
        <v>9</v>
      </c>
      <c r="G309" t="s">
        <v>10</v>
      </c>
    </row>
    <row r="311" spans="1:7" x14ac:dyDescent="0.2">
      <c r="A311" t="s">
        <v>538</v>
      </c>
      <c r="B311">
        <f t="shared" ref="B311:G311" si="19">B97</f>
        <v>250</v>
      </c>
      <c r="C311">
        <f t="shared" si="19"/>
        <v>250</v>
      </c>
      <c r="D311">
        <f t="shared" si="19"/>
        <v>249.99999999999994</v>
      </c>
      <c r="E311">
        <f t="shared" si="19"/>
        <v>249.99999999905162</v>
      </c>
      <c r="F311">
        <f t="shared" si="19"/>
        <v>249.99999999902855</v>
      </c>
      <c r="G311">
        <f t="shared" si="19"/>
        <v>249.99999999920067</v>
      </c>
    </row>
    <row r="313" spans="1:7" x14ac:dyDescent="0.2">
      <c r="A313" t="s">
        <v>539</v>
      </c>
      <c r="B313">
        <f t="shared" ref="B313:G313" si="20">B70</f>
        <v>1490</v>
      </c>
      <c r="C313">
        <f t="shared" si="20"/>
        <v>800</v>
      </c>
      <c r="D313">
        <f t="shared" si="20"/>
        <v>1740</v>
      </c>
      <c r="E313">
        <f t="shared" si="20"/>
        <v>1900</v>
      </c>
      <c r="F313">
        <f t="shared" si="20"/>
        <v>2100</v>
      </c>
      <c r="G313">
        <f t="shared" si="20"/>
        <v>2510</v>
      </c>
    </row>
    <row r="314" spans="1:7" x14ac:dyDescent="0.2">
      <c r="A314" t="s">
        <v>545</v>
      </c>
      <c r="B314">
        <f>C153</f>
        <v>809.11458333333326</v>
      </c>
      <c r="C314">
        <f>C154</f>
        <v>0</v>
      </c>
      <c r="D314">
        <f>C155</f>
        <v>0</v>
      </c>
      <c r="E314">
        <f>C156</f>
        <v>0</v>
      </c>
    </row>
    <row r="315" spans="1:7" x14ac:dyDescent="0.2">
      <c r="A315" t="s">
        <v>546</v>
      </c>
      <c r="B315">
        <f>C159</f>
        <v>680.88541666666674</v>
      </c>
      <c r="C315">
        <f>C160</f>
        <v>0</v>
      </c>
      <c r="D315">
        <f>C161</f>
        <v>0</v>
      </c>
      <c r="E315">
        <f>C162</f>
        <v>0</v>
      </c>
    </row>
    <row r="316" spans="1:7" x14ac:dyDescent="0.2">
      <c r="A316" t="s">
        <v>550</v>
      </c>
      <c r="B316">
        <f t="shared" ref="B316:G316" si="21">B313-(B314+B315)</f>
        <v>0</v>
      </c>
      <c r="C316">
        <f t="shared" si="21"/>
        <v>800</v>
      </c>
      <c r="D316">
        <f t="shared" si="21"/>
        <v>1740</v>
      </c>
      <c r="E316">
        <f t="shared" si="21"/>
        <v>1900</v>
      </c>
      <c r="F316">
        <f t="shared" si="21"/>
        <v>2100</v>
      </c>
      <c r="G316">
        <f t="shared" si="21"/>
        <v>2510</v>
      </c>
    </row>
    <row r="318" spans="1:7" x14ac:dyDescent="0.2">
      <c r="A318" t="s">
        <v>540</v>
      </c>
      <c r="B318">
        <f t="shared" ref="B318:G318" si="22">B79</f>
        <v>1525</v>
      </c>
      <c r="C318">
        <f t="shared" si="22"/>
        <v>1600</v>
      </c>
      <c r="D318">
        <f t="shared" si="22"/>
        <v>2186.5112847222222</v>
      </c>
      <c r="E318">
        <f t="shared" si="22"/>
        <v>2200</v>
      </c>
      <c r="F318">
        <f t="shared" si="22"/>
        <v>2050</v>
      </c>
      <c r="G318">
        <f t="shared" si="22"/>
        <v>1999.3939157084992</v>
      </c>
    </row>
    <row r="320" spans="1:7" x14ac:dyDescent="0.2">
      <c r="A320" t="s">
        <v>541</v>
      </c>
      <c r="B320">
        <f t="shared" ref="B320:G320" si="23">(B321+B322+B323)</f>
        <v>1533.75</v>
      </c>
      <c r="C320">
        <f t="shared" si="23"/>
        <v>-5.6843418860808015E-14</v>
      </c>
      <c r="D320">
        <f t="shared" si="23"/>
        <v>462.36848958238488</v>
      </c>
      <c r="E320">
        <f t="shared" si="23"/>
        <v>1622.1620985233262</v>
      </c>
      <c r="F320">
        <f t="shared" si="23"/>
        <v>488.56916665800202</v>
      </c>
      <c r="G320">
        <f t="shared" si="23"/>
        <v>0</v>
      </c>
    </row>
    <row r="321" spans="1:7" x14ac:dyDescent="0.2">
      <c r="A321" t="s">
        <v>547</v>
      </c>
      <c r="B321">
        <f>C163</f>
        <v>0</v>
      </c>
      <c r="C321">
        <f>C164</f>
        <v>-5.6843418860808015E-14</v>
      </c>
      <c r="D321">
        <f>C165</f>
        <v>462.36848958238488</v>
      </c>
      <c r="E321">
        <f>C166</f>
        <v>516.30114917013555</v>
      </c>
      <c r="F321">
        <f>C167</f>
        <v>488.56916665800202</v>
      </c>
      <c r="G321">
        <f>0</f>
        <v>0</v>
      </c>
    </row>
    <row r="322" spans="1:7" x14ac:dyDescent="0.2">
      <c r="A322" t="s">
        <v>548</v>
      </c>
      <c r="B322">
        <f>C168</f>
        <v>1533.75</v>
      </c>
      <c r="C322">
        <f>C169</f>
        <v>0</v>
      </c>
      <c r="D322">
        <f>C170</f>
        <v>0</v>
      </c>
      <c r="E322">
        <f>C171</f>
        <v>1105.8609493531906</v>
      </c>
      <c r="F322">
        <f>0</f>
        <v>0</v>
      </c>
      <c r="G322">
        <f>0</f>
        <v>0</v>
      </c>
    </row>
    <row r="323" spans="1:7" x14ac:dyDescent="0.2">
      <c r="A323" t="s">
        <v>549</v>
      </c>
      <c r="B323">
        <f>C172</f>
        <v>0</v>
      </c>
      <c r="C323">
        <f>0</f>
        <v>0</v>
      </c>
      <c r="D323">
        <v>0</v>
      </c>
      <c r="E323">
        <f>0</f>
        <v>0</v>
      </c>
      <c r="F323">
        <f>0</f>
        <v>0</v>
      </c>
      <c r="G323">
        <f>0</f>
        <v>0</v>
      </c>
    </row>
    <row r="325" spans="1:7" x14ac:dyDescent="0.2">
      <c r="A325" t="s">
        <v>542</v>
      </c>
      <c r="B325">
        <f>B326+B327</f>
        <v>0</v>
      </c>
      <c r="C325">
        <f>C326+C327</f>
        <v>809.11458333333326</v>
      </c>
      <c r="D325">
        <f>D96</f>
        <v>0</v>
      </c>
      <c r="E325">
        <f>E96</f>
        <v>680.88541666666674</v>
      </c>
      <c r="F325">
        <f>F96</f>
        <v>0</v>
      </c>
      <c r="G325">
        <f>G96</f>
        <v>0</v>
      </c>
    </row>
    <row r="326" spans="1:7" x14ac:dyDescent="0.2">
      <c r="A326" t="s">
        <v>551</v>
      </c>
      <c r="B326">
        <f>B95</f>
        <v>0</v>
      </c>
      <c r="C326">
        <f>C96</f>
        <v>809.11458333333326</v>
      </c>
      <c r="D326">
        <f>C314</f>
        <v>0</v>
      </c>
      <c r="E326">
        <f>D314</f>
        <v>0</v>
      </c>
      <c r="F326">
        <f>E314</f>
        <v>0</v>
      </c>
      <c r="G326">
        <f>F314</f>
        <v>0</v>
      </c>
    </row>
    <row r="327" spans="1:7" x14ac:dyDescent="0.2">
      <c r="A327" t="s">
        <v>552</v>
      </c>
      <c r="B327">
        <v>0</v>
      </c>
      <c r="C327">
        <f>0</f>
        <v>0</v>
      </c>
      <c r="D327">
        <f>D325-D326</f>
        <v>0</v>
      </c>
      <c r="E327">
        <f>E325-E326</f>
        <v>680.88541666666674</v>
      </c>
      <c r="F327">
        <f>F325-F326</f>
        <v>0</v>
      </c>
      <c r="G327">
        <f>G325-G326</f>
        <v>0</v>
      </c>
    </row>
    <row r="329" spans="1:7" x14ac:dyDescent="0.2">
      <c r="A329" t="s">
        <v>559</v>
      </c>
      <c r="B329">
        <f t="shared" ref="B329:G329" si="24">B95</f>
        <v>0</v>
      </c>
      <c r="C329">
        <f t="shared" si="24"/>
        <v>0</v>
      </c>
      <c r="D329">
        <f t="shared" si="24"/>
        <v>-5.6843418860808015E-14</v>
      </c>
      <c r="E329">
        <f t="shared" si="24"/>
        <v>1996.1184895823849</v>
      </c>
      <c r="F329">
        <f t="shared" si="24"/>
        <v>516.30114917013555</v>
      </c>
      <c r="G329">
        <f t="shared" si="24"/>
        <v>488.56916665800202</v>
      </c>
    </row>
    <row r="330" spans="1:7" x14ac:dyDescent="0.2">
      <c r="A330" t="s">
        <v>551</v>
      </c>
      <c r="B330">
        <f>0</f>
        <v>0</v>
      </c>
      <c r="C330">
        <f>B321</f>
        <v>0</v>
      </c>
      <c r="D330">
        <f>C321</f>
        <v>-5.6843418860808015E-14</v>
      </c>
      <c r="E330">
        <f>D321</f>
        <v>462.36848958238488</v>
      </c>
      <c r="F330">
        <f>E321</f>
        <v>516.30114917013555</v>
      </c>
      <c r="G330">
        <f>F321</f>
        <v>488.56916665800202</v>
      </c>
    </row>
    <row r="331" spans="1:7" x14ac:dyDescent="0.2">
      <c r="A331" t="s">
        <v>552</v>
      </c>
      <c r="B331">
        <f>0</f>
        <v>0</v>
      </c>
      <c r="C331">
        <f>0</f>
        <v>0</v>
      </c>
      <c r="D331">
        <f>0</f>
        <v>0</v>
      </c>
      <c r="E331">
        <f>B322</f>
        <v>1533.75</v>
      </c>
      <c r="F331">
        <f>C322</f>
        <v>0</v>
      </c>
      <c r="G331">
        <f>D322</f>
        <v>0</v>
      </c>
    </row>
    <row r="332" spans="1:7" x14ac:dyDescent="0.2">
      <c r="A332" t="s">
        <v>553</v>
      </c>
      <c r="B332">
        <f>0</f>
        <v>0</v>
      </c>
      <c r="C332">
        <f>0</f>
        <v>0</v>
      </c>
      <c r="D332">
        <f>0</f>
        <v>0</v>
      </c>
      <c r="E332">
        <f>0</f>
        <v>0</v>
      </c>
      <c r="F332">
        <f>0</f>
        <v>0</v>
      </c>
      <c r="G332">
        <f>0</f>
        <v>0</v>
      </c>
    </row>
    <row r="334" spans="1:7" x14ac:dyDescent="0.2">
      <c r="A334" t="s">
        <v>554</v>
      </c>
      <c r="B334">
        <f t="shared" ref="B334:G334" si="25">B336+B93</f>
        <v>1533.75</v>
      </c>
      <c r="C334">
        <f t="shared" si="25"/>
        <v>1621.53125</v>
      </c>
      <c r="D334">
        <f t="shared" si="25"/>
        <v>2208.0425347212736</v>
      </c>
      <c r="E334">
        <f t="shared" si="25"/>
        <v>2212.6030707464965</v>
      </c>
      <c r="F334">
        <f t="shared" si="25"/>
        <v>2072.2680174878665</v>
      </c>
      <c r="G334">
        <f t="shared" si="25"/>
        <v>2021.4308333419981</v>
      </c>
    </row>
    <row r="336" spans="1:7" x14ac:dyDescent="0.2">
      <c r="A336" t="s">
        <v>543</v>
      </c>
      <c r="B336">
        <f t="shared" ref="B336:G336" si="26">B325+B320+B316-B329</f>
        <v>1533.75</v>
      </c>
      <c r="C336">
        <f t="shared" si="26"/>
        <v>1609.1145833333333</v>
      </c>
      <c r="D336">
        <f t="shared" si="26"/>
        <v>2202.3684895823849</v>
      </c>
      <c r="E336">
        <f t="shared" si="26"/>
        <v>2206.9290256076079</v>
      </c>
      <c r="F336">
        <f t="shared" si="26"/>
        <v>2072.2680174878665</v>
      </c>
      <c r="G336">
        <f t="shared" si="26"/>
        <v>2021.4308333419981</v>
      </c>
    </row>
    <row r="338" spans="1:7" x14ac:dyDescent="0.2">
      <c r="A338" t="s">
        <v>544</v>
      </c>
      <c r="B338">
        <f t="shared" ref="B338:G338" si="27">B334-B318</f>
        <v>8.75</v>
      </c>
      <c r="C338">
        <f t="shared" si="27"/>
        <v>21.53125</v>
      </c>
      <c r="D338">
        <f t="shared" si="27"/>
        <v>21.531249999051397</v>
      </c>
      <c r="E338">
        <f t="shared" si="27"/>
        <v>12.603070746496542</v>
      </c>
      <c r="F338">
        <f t="shared" si="27"/>
        <v>22.268017487866473</v>
      </c>
      <c r="G338">
        <f t="shared" si="27"/>
        <v>22.036917633498888</v>
      </c>
    </row>
    <row r="340" spans="1:7" x14ac:dyDescent="0.2">
      <c r="A340" t="s">
        <v>558</v>
      </c>
      <c r="B340">
        <f t="shared" ref="B340:G340" si="28">B94</f>
        <v>8.75</v>
      </c>
      <c r="C340">
        <f t="shared" si="28"/>
        <v>21.53125</v>
      </c>
      <c r="D340">
        <f t="shared" si="28"/>
        <v>21.53125</v>
      </c>
      <c r="E340">
        <f t="shared" si="28"/>
        <v>25.384320746519876</v>
      </c>
      <c r="F340">
        <f t="shared" si="28"/>
        <v>22.268017487694387</v>
      </c>
      <c r="G340">
        <f t="shared" si="28"/>
        <v>22.036917633426604</v>
      </c>
    </row>
    <row r="342" spans="1:7" x14ac:dyDescent="0.2">
      <c r="A342" t="s">
        <v>555</v>
      </c>
      <c r="B342">
        <f t="shared" ref="B342:G342" si="29">B93</f>
        <v>0</v>
      </c>
      <c r="C342">
        <f t="shared" si="29"/>
        <v>12.416666666666668</v>
      </c>
      <c r="D342">
        <f t="shared" si="29"/>
        <v>5.6740451388888893</v>
      </c>
      <c r="E342">
        <f t="shared" si="29"/>
        <v>5.6740451388888893</v>
      </c>
      <c r="F342">
        <f t="shared" si="29"/>
        <v>0</v>
      </c>
      <c r="G342">
        <f t="shared" si="29"/>
        <v>0</v>
      </c>
    </row>
    <row r="343" spans="1:7" x14ac:dyDescent="0.2">
      <c r="A343" t="s">
        <v>556</v>
      </c>
      <c r="B343">
        <f>0</f>
        <v>0</v>
      </c>
      <c r="C343">
        <f>D176</f>
        <v>6.7426215277777777</v>
      </c>
      <c r="D343">
        <f>D177</f>
        <v>0</v>
      </c>
      <c r="E343">
        <f>D178</f>
        <v>0</v>
      </c>
      <c r="F343">
        <f>D179</f>
        <v>0</v>
      </c>
      <c r="G343">
        <f>D180</f>
        <v>0</v>
      </c>
    </row>
    <row r="344" spans="1:7" x14ac:dyDescent="0.2">
      <c r="A344" t="s">
        <v>557</v>
      </c>
      <c r="B344">
        <f t="shared" ref="B344:G344" si="30">B345+B346+B347+B348+B349+B350</f>
        <v>0</v>
      </c>
      <c r="C344">
        <f t="shared" si="30"/>
        <v>5.6740451388888893</v>
      </c>
      <c r="D344">
        <f t="shared" si="30"/>
        <v>5.6740451388888893</v>
      </c>
      <c r="E344">
        <f t="shared" si="30"/>
        <v>5.6740451388888893</v>
      </c>
      <c r="F344">
        <f t="shared" si="30"/>
        <v>0</v>
      </c>
      <c r="G344">
        <f t="shared" si="30"/>
        <v>0</v>
      </c>
    </row>
    <row r="345" spans="1:7" x14ac:dyDescent="0.2">
      <c r="A345" t="s">
        <v>561</v>
      </c>
      <c r="B345">
        <v>0</v>
      </c>
      <c r="C345">
        <f>D182</f>
        <v>5.6740451388888893</v>
      </c>
      <c r="D345">
        <f>D182</f>
        <v>5.6740451388888893</v>
      </c>
      <c r="E345">
        <f>D182</f>
        <v>5.6740451388888893</v>
      </c>
      <c r="F345">
        <v>0</v>
      </c>
      <c r="G345">
        <v>0</v>
      </c>
    </row>
    <row r="346" spans="1:7" x14ac:dyDescent="0.2">
      <c r="A346" t="s">
        <v>562</v>
      </c>
      <c r="B346">
        <v>0</v>
      </c>
      <c r="C346">
        <v>0</v>
      </c>
      <c r="D346">
        <f>D183</f>
        <v>0</v>
      </c>
      <c r="E346">
        <f>D183</f>
        <v>0</v>
      </c>
      <c r="F346">
        <f>D183</f>
        <v>0</v>
      </c>
      <c r="G346">
        <v>0</v>
      </c>
    </row>
    <row r="347" spans="1:7" x14ac:dyDescent="0.2">
      <c r="A347" t="s">
        <v>563</v>
      </c>
      <c r="B347">
        <v>0</v>
      </c>
      <c r="C347">
        <v>0</v>
      </c>
      <c r="D347">
        <v>0</v>
      </c>
      <c r="E347">
        <f>D184</f>
        <v>0</v>
      </c>
      <c r="F347">
        <f>D184</f>
        <v>0</v>
      </c>
      <c r="G347">
        <f>D184</f>
        <v>0</v>
      </c>
    </row>
    <row r="348" spans="1:7" x14ac:dyDescent="0.2">
      <c r="A348" t="s">
        <v>565</v>
      </c>
      <c r="B348">
        <v>0</v>
      </c>
      <c r="C348">
        <v>0</v>
      </c>
      <c r="D348">
        <v>0</v>
      </c>
      <c r="E348">
        <v>0</v>
      </c>
      <c r="F348">
        <f>D185</f>
        <v>0</v>
      </c>
      <c r="G348">
        <f>D185</f>
        <v>0</v>
      </c>
    </row>
    <row r="349" spans="1:7" x14ac:dyDescent="0.2">
      <c r="A349" t="s">
        <v>564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 t="s">
        <v>566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2" spans="1:7" x14ac:dyDescent="0.2">
      <c r="A352" t="s">
        <v>560</v>
      </c>
      <c r="B352">
        <f t="shared" ref="B352:G352" si="31">B94</f>
        <v>8.75</v>
      </c>
      <c r="C352">
        <f t="shared" si="31"/>
        <v>21.53125</v>
      </c>
      <c r="D352">
        <f t="shared" si="31"/>
        <v>21.53125</v>
      </c>
      <c r="E352">
        <f t="shared" si="31"/>
        <v>25.384320746519876</v>
      </c>
      <c r="F352">
        <f t="shared" si="31"/>
        <v>22.268017487694387</v>
      </c>
      <c r="G352">
        <f t="shared" si="31"/>
        <v>22.036917633426604</v>
      </c>
    </row>
    <row r="353" spans="1:7" x14ac:dyDescent="0.2">
      <c r="A353" t="s">
        <v>556</v>
      </c>
      <c r="B353">
        <v>0</v>
      </c>
      <c r="C353">
        <f>D186</f>
        <v>0</v>
      </c>
      <c r="D353">
        <f>D187</f>
        <v>-4.7369515717340012E-16</v>
      </c>
      <c r="E353">
        <f>D188</f>
        <v>3.8530707465198741</v>
      </c>
      <c r="F353">
        <f>D189</f>
        <v>4.3025095764177967</v>
      </c>
      <c r="G353">
        <f>D190</f>
        <v>4.0714097221500172</v>
      </c>
    </row>
    <row r="354" spans="1:7" x14ac:dyDescent="0.2">
      <c r="A354" t="s">
        <v>557</v>
      </c>
      <c r="B354">
        <f>B355+B356+B357+B358+B359+B360</f>
        <v>0</v>
      </c>
      <c r="C354">
        <f>C355+C356+C357+C358+C359+C360</f>
        <v>12.78125</v>
      </c>
      <c r="D354">
        <f>D355+D356+D357+D358+D359+D360</f>
        <v>12.78125</v>
      </c>
      <c r="E354">
        <f>D188</f>
        <v>3.8530707465198741</v>
      </c>
      <c r="F354">
        <f>F355+F356+F357+F358+F359+F360</f>
        <v>9.215507911276589</v>
      </c>
      <c r="G354">
        <f>G355+G356+G357+G358+G359+G360</f>
        <v>9.215507911276589</v>
      </c>
    </row>
    <row r="355" spans="1:7" x14ac:dyDescent="0.2">
      <c r="A355" t="str">
        <f t="shared" ref="A355:A360" si="32">A345</f>
        <v xml:space="preserve">                              January</v>
      </c>
      <c r="B355">
        <v>0</v>
      </c>
      <c r="C355">
        <f>D191</f>
        <v>12.78125</v>
      </c>
      <c r="D355">
        <f>D191</f>
        <v>12.78125</v>
      </c>
      <c r="E355">
        <f>D191</f>
        <v>12.78125</v>
      </c>
      <c r="F355">
        <v>0</v>
      </c>
      <c r="G355">
        <v>0</v>
      </c>
    </row>
    <row r="356" spans="1:7" x14ac:dyDescent="0.2">
      <c r="A356" t="str">
        <f t="shared" si="32"/>
        <v xml:space="preserve">                              February</v>
      </c>
      <c r="B356">
        <v>0</v>
      </c>
      <c r="C356">
        <v>0</v>
      </c>
      <c r="D356">
        <f>D192</f>
        <v>0</v>
      </c>
      <c r="E356">
        <f>D192</f>
        <v>0</v>
      </c>
      <c r="F356">
        <f>D192</f>
        <v>0</v>
      </c>
      <c r="G356">
        <v>0</v>
      </c>
    </row>
    <row r="357" spans="1:7" x14ac:dyDescent="0.2">
      <c r="A357" t="str">
        <f t="shared" si="32"/>
        <v xml:space="preserve">                              March</v>
      </c>
      <c r="B357">
        <v>0</v>
      </c>
      <c r="C357">
        <v>0</v>
      </c>
      <c r="D357">
        <v>0</v>
      </c>
      <c r="E357">
        <f>D193</f>
        <v>0</v>
      </c>
      <c r="F357">
        <f>D193</f>
        <v>0</v>
      </c>
      <c r="G357">
        <f>D193</f>
        <v>0</v>
      </c>
    </row>
    <row r="358" spans="1:7" x14ac:dyDescent="0.2">
      <c r="A358" t="str">
        <f t="shared" si="32"/>
        <v xml:space="preserve">                              April</v>
      </c>
      <c r="B358">
        <v>0</v>
      </c>
      <c r="C358">
        <f>0</f>
        <v>0</v>
      </c>
      <c r="D358">
        <f>0</f>
        <v>0</v>
      </c>
      <c r="E358">
        <f>0</f>
        <v>0</v>
      </c>
      <c r="F358">
        <f>D194</f>
        <v>9.215507911276589</v>
      </c>
      <c r="G358">
        <f>D194</f>
        <v>9.215507911276589</v>
      </c>
    </row>
    <row r="359" spans="1:7" x14ac:dyDescent="0.2">
      <c r="A359" t="str">
        <f t="shared" si="32"/>
        <v xml:space="preserve">                             May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t="str">
        <f t="shared" si="32"/>
        <v xml:space="preserve">                              June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 t="s">
        <v>567</v>
      </c>
      <c r="B361">
        <f>0</f>
        <v>0</v>
      </c>
      <c r="C361">
        <f>D195</f>
        <v>0</v>
      </c>
      <c r="D361">
        <f>D195</f>
        <v>0</v>
      </c>
      <c r="E361">
        <f>D195</f>
        <v>0</v>
      </c>
      <c r="F361">
        <f>D195</f>
        <v>0</v>
      </c>
      <c r="G361">
        <f>D195</f>
        <v>0</v>
      </c>
    </row>
    <row r="362" spans="1:7" x14ac:dyDescent="0.2">
      <c r="A362" t="s">
        <v>293</v>
      </c>
      <c r="B362">
        <v>8.75</v>
      </c>
      <c r="C362">
        <v>8.75</v>
      </c>
      <c r="D362">
        <v>8.75</v>
      </c>
      <c r="E362">
        <v>8.75</v>
      </c>
      <c r="F362">
        <v>8.75</v>
      </c>
      <c r="G362">
        <v>8.75</v>
      </c>
    </row>
    <row r="365" spans="1:7" x14ac:dyDescent="0.2">
      <c r="A365" t="s">
        <v>572</v>
      </c>
    </row>
    <row r="367" spans="1:7" x14ac:dyDescent="0.2">
      <c r="A367" t="str">
        <f>A256</f>
        <v>Collection fractions</v>
      </c>
      <c r="C367" t="s">
        <v>585</v>
      </c>
      <c r="D367">
        <v>1</v>
      </c>
      <c r="E367">
        <v>-113.6309919</v>
      </c>
    </row>
    <row r="368" spans="1:7" x14ac:dyDescent="0.2">
      <c r="A368" s="5">
        <v>0.1</v>
      </c>
      <c r="C368">
        <f>D257</f>
        <v>-97.736998923196424</v>
      </c>
      <c r="D368">
        <v>2</v>
      </c>
      <c r="E368">
        <v>-105.9115632</v>
      </c>
    </row>
    <row r="369" spans="1:6" x14ac:dyDescent="0.2">
      <c r="A369" s="5">
        <v>0.1</v>
      </c>
      <c r="D369">
        <v>3</v>
      </c>
      <c r="E369">
        <v>-102.528783</v>
      </c>
    </row>
    <row r="370" spans="1:6" x14ac:dyDescent="0.2">
      <c r="A370" s="5">
        <v>0.8</v>
      </c>
      <c r="D370">
        <v>4</v>
      </c>
      <c r="E370">
        <v>-94.863248310000003</v>
      </c>
    </row>
    <row r="371" spans="1:6" x14ac:dyDescent="0.2">
      <c r="A371" t="str">
        <f>A260</f>
        <v>Purchase Fractions</v>
      </c>
      <c r="D371">
        <v>5</v>
      </c>
      <c r="E371">
        <v>-87.197713640000003</v>
      </c>
      <c r="F371">
        <v>0.66653952100000002</v>
      </c>
    </row>
    <row r="372" spans="1:6" x14ac:dyDescent="0.2">
      <c r="A372" s="5">
        <v>0</v>
      </c>
      <c r="D372">
        <v>6</v>
      </c>
      <c r="E372">
        <v>-83.814933429999996</v>
      </c>
    </row>
    <row r="373" spans="1:6" x14ac:dyDescent="0.2">
      <c r="A373" s="5">
        <v>1</v>
      </c>
      <c r="D373">
        <v>7</v>
      </c>
      <c r="E373">
        <v>-80.432153209999996</v>
      </c>
    </row>
    <row r="374" spans="1:6" x14ac:dyDescent="0.2">
      <c r="D374">
        <v>8</v>
      </c>
      <c r="E374">
        <v>-72.768355909999997</v>
      </c>
    </row>
    <row r="375" spans="1:6" x14ac:dyDescent="0.2">
      <c r="A375" t="str">
        <f>A264</f>
        <v>minimum cash balance</v>
      </c>
      <c r="D375">
        <v>9</v>
      </c>
      <c r="E375">
        <v>-65.106105790000001</v>
      </c>
      <c r="F375">
        <v>10.641610010000001</v>
      </c>
    </row>
    <row r="376" spans="1:6" x14ac:dyDescent="0.2">
      <c r="A376">
        <v>250</v>
      </c>
      <c r="D376">
        <v>10</v>
      </c>
      <c r="E376">
        <v>-61.726319760000003</v>
      </c>
    </row>
    <row r="377" spans="1:6" x14ac:dyDescent="0.2">
      <c r="D377">
        <v>11</v>
      </c>
      <c r="E377">
        <v>-58.421810729999997</v>
      </c>
    </row>
    <row r="378" spans="1:6" x14ac:dyDescent="0.2">
      <c r="A378" t="s">
        <v>574</v>
      </c>
      <c r="D378">
        <v>12</v>
      </c>
      <c r="E378">
        <v>-51.298177610000003</v>
      </c>
    </row>
    <row r="379" spans="1:6" x14ac:dyDescent="0.2">
      <c r="A379">
        <v>250</v>
      </c>
      <c r="D379">
        <v>13</v>
      </c>
      <c r="E379">
        <v>-44.242528030000003</v>
      </c>
      <c r="F379">
        <v>12.65339234</v>
      </c>
    </row>
    <row r="380" spans="1:6" x14ac:dyDescent="0.2">
      <c r="A380" t="s">
        <v>575</v>
      </c>
      <c r="D380">
        <v>14</v>
      </c>
      <c r="E380">
        <v>-41.22261804</v>
      </c>
    </row>
    <row r="381" spans="1:6" x14ac:dyDescent="0.2">
      <c r="A381">
        <v>0</v>
      </c>
      <c r="D381">
        <v>15</v>
      </c>
      <c r="E381">
        <v>-38.20022823</v>
      </c>
    </row>
    <row r="382" spans="1:6" x14ac:dyDescent="0.2">
      <c r="A382" t="s">
        <v>577</v>
      </c>
      <c r="D382">
        <v>16</v>
      </c>
      <c r="E382">
        <v>-31.180505069999999</v>
      </c>
    </row>
    <row r="383" spans="1:6" x14ac:dyDescent="0.2">
      <c r="A383" s="5">
        <v>0.4</v>
      </c>
      <c r="D383">
        <v>17</v>
      </c>
      <c r="E383">
        <v>-24.1607819</v>
      </c>
    </row>
    <row r="384" spans="1:6" x14ac:dyDescent="0.2">
      <c r="D384">
        <v>18</v>
      </c>
      <c r="E384">
        <v>-21.14011318</v>
      </c>
    </row>
    <row r="385" spans="1:6" x14ac:dyDescent="0.2">
      <c r="D385">
        <v>19</v>
      </c>
      <c r="E385">
        <v>-18.11944446</v>
      </c>
    </row>
    <row r="386" spans="1:6" x14ac:dyDescent="0.2">
      <c r="A386" t="s">
        <v>579</v>
      </c>
      <c r="D386">
        <v>20</v>
      </c>
      <c r="E386">
        <v>-11.099721300000001</v>
      </c>
      <c r="F386">
        <v>-10.143801890000001</v>
      </c>
    </row>
    <row r="387" spans="1:6" x14ac:dyDescent="0.2">
      <c r="A387">
        <v>1</v>
      </c>
      <c r="B387" s="5">
        <v>0</v>
      </c>
      <c r="C387">
        <v>-113.6309919</v>
      </c>
      <c r="D387">
        <v>21</v>
      </c>
      <c r="E387">
        <v>-10.143801890000001</v>
      </c>
    </row>
    <row r="388" spans="1:6" x14ac:dyDescent="0.2">
      <c r="A388" t="s">
        <v>582</v>
      </c>
      <c r="B388" s="5">
        <v>0.05</v>
      </c>
      <c r="D388">
        <v>22</v>
      </c>
      <c r="E388">
        <v>-9.1899232800000004</v>
      </c>
    </row>
    <row r="389" spans="1:6" x14ac:dyDescent="0.2">
      <c r="B389" s="5">
        <v>0.95</v>
      </c>
      <c r="D389">
        <v>23</v>
      </c>
      <c r="E389">
        <v>-8.2360446679999999</v>
      </c>
    </row>
    <row r="390" spans="1:6" x14ac:dyDescent="0.2">
      <c r="D390">
        <v>24</v>
      </c>
      <c r="E390">
        <v>-7.2821660560000003</v>
      </c>
      <c r="F390">
        <v>-9.1899232800000004</v>
      </c>
    </row>
    <row r="391" spans="1:6" x14ac:dyDescent="0.2">
      <c r="A391">
        <v>2</v>
      </c>
      <c r="B391" s="5">
        <v>0.05</v>
      </c>
      <c r="C391">
        <v>-105.9115632</v>
      </c>
      <c r="D391">
        <v>25</v>
      </c>
      <c r="E391">
        <v>0.66653952100000002</v>
      </c>
    </row>
    <row r="392" spans="1:6" x14ac:dyDescent="0.2">
      <c r="B392" s="5">
        <v>0.05</v>
      </c>
      <c r="D392">
        <v>26</v>
      </c>
      <c r="E392">
        <v>10.641610010000001</v>
      </c>
    </row>
    <row r="393" spans="1:6" x14ac:dyDescent="0.2">
      <c r="B393" s="5">
        <v>0.9</v>
      </c>
      <c r="D393">
        <v>27</v>
      </c>
      <c r="E393">
        <v>12.65339234</v>
      </c>
    </row>
    <row r="394" spans="1:6" x14ac:dyDescent="0.2">
      <c r="D394">
        <v>28</v>
      </c>
      <c r="E394">
        <v>17.53157981</v>
      </c>
      <c r="F394">
        <v>-8.2360446679999999</v>
      </c>
    </row>
    <row r="395" spans="1:6" x14ac:dyDescent="0.2">
      <c r="A395">
        <v>3</v>
      </c>
      <c r="B395" s="5">
        <v>0.05</v>
      </c>
      <c r="C395">
        <v>-102.528783</v>
      </c>
      <c r="D395">
        <v>29</v>
      </c>
      <c r="E395">
        <v>24.42154961</v>
      </c>
    </row>
    <row r="396" spans="1:6" x14ac:dyDescent="0.2">
      <c r="B396" s="5">
        <v>0.1</v>
      </c>
      <c r="D396">
        <v>30</v>
      </c>
      <c r="E396">
        <v>28.344268710000001</v>
      </c>
    </row>
    <row r="397" spans="1:6" x14ac:dyDescent="0.2">
      <c r="B397" s="5">
        <v>0.85</v>
      </c>
      <c r="D397">
        <v>31</v>
      </c>
      <c r="E397">
        <v>-15.098775740000001</v>
      </c>
    </row>
    <row r="398" spans="1:6" x14ac:dyDescent="0.2">
      <c r="D398">
        <v>32</v>
      </c>
      <c r="E398">
        <v>-26.117553350000001</v>
      </c>
      <c r="F398">
        <v>-7.2821660560000003</v>
      </c>
    </row>
    <row r="399" spans="1:6" x14ac:dyDescent="0.2">
      <c r="A399">
        <v>4</v>
      </c>
      <c r="B399" s="5">
        <v>0.1</v>
      </c>
      <c r="C399">
        <v>-94.863248310000003</v>
      </c>
      <c r="D399">
        <v>33</v>
      </c>
      <c r="E399">
        <v>-30.11660779</v>
      </c>
    </row>
    <row r="400" spans="1:6" x14ac:dyDescent="0.2">
      <c r="B400" s="5">
        <v>0.1</v>
      </c>
      <c r="D400">
        <v>34</v>
      </c>
      <c r="E400">
        <v>-34.115662229999998</v>
      </c>
    </row>
    <row r="401" spans="1:6" x14ac:dyDescent="0.2">
      <c r="B401" s="5">
        <v>0.8</v>
      </c>
      <c r="D401">
        <v>35</v>
      </c>
      <c r="E401">
        <v>-42.113771110000002</v>
      </c>
    </row>
    <row r="402" spans="1:6" x14ac:dyDescent="0.2">
      <c r="D402">
        <v>36</v>
      </c>
      <c r="E402">
        <v>-51.090265709999997</v>
      </c>
      <c r="F402">
        <v>0.66653952100000002</v>
      </c>
    </row>
    <row r="403" spans="1:6" x14ac:dyDescent="0.2">
      <c r="A403">
        <v>5</v>
      </c>
      <c r="B403" s="5">
        <v>0.15</v>
      </c>
      <c r="C403">
        <v>-87.197713640000003</v>
      </c>
      <c r="D403">
        <v>37</v>
      </c>
      <c r="E403">
        <v>-34.115662229999998</v>
      </c>
    </row>
    <row r="404" spans="1:6" x14ac:dyDescent="0.2">
      <c r="B404" s="5">
        <v>0.1</v>
      </c>
    </row>
    <row r="405" spans="1:6" x14ac:dyDescent="0.2">
      <c r="B405" s="5">
        <v>0.75</v>
      </c>
    </row>
    <row r="406" spans="1:6" x14ac:dyDescent="0.2">
      <c r="F406">
        <v>17.53157981</v>
      </c>
    </row>
    <row r="407" spans="1:6" x14ac:dyDescent="0.2">
      <c r="A407">
        <v>6</v>
      </c>
      <c r="B407" s="5">
        <v>0.15</v>
      </c>
      <c r="C407">
        <v>-83.814933429999996</v>
      </c>
    </row>
    <row r="408" spans="1:6" x14ac:dyDescent="0.2">
      <c r="B408" s="5">
        <v>0.15</v>
      </c>
    </row>
    <row r="409" spans="1:6" x14ac:dyDescent="0.2">
      <c r="B409" s="5">
        <v>0.7</v>
      </c>
      <c r="D409" s="5">
        <v>0.05</v>
      </c>
      <c r="E409">
        <v>-94.863248310000003</v>
      </c>
    </row>
    <row r="410" spans="1:6" x14ac:dyDescent="0.2">
      <c r="D410" s="5">
        <v>0.1</v>
      </c>
      <c r="E410">
        <v>-94.863248310000003</v>
      </c>
      <c r="F410">
        <v>24.42154961</v>
      </c>
    </row>
    <row r="411" spans="1:6" x14ac:dyDescent="0.2">
      <c r="A411">
        <v>7</v>
      </c>
      <c r="B411" s="5">
        <v>0.15</v>
      </c>
      <c r="C411">
        <v>-80.432153209999996</v>
      </c>
      <c r="D411" s="5">
        <v>0.15</v>
      </c>
      <c r="E411">
        <v>-94.863248310000003</v>
      </c>
    </row>
    <row r="412" spans="1:6" x14ac:dyDescent="0.2">
      <c r="B412" s="5">
        <v>0.2</v>
      </c>
      <c r="D412" s="5">
        <v>0.2</v>
      </c>
      <c r="E412">
        <v>-94.863248310000003</v>
      </c>
    </row>
    <row r="413" spans="1:6" x14ac:dyDescent="0.2">
      <c r="B413" s="5">
        <v>0.65</v>
      </c>
      <c r="D413" s="5">
        <v>0.25</v>
      </c>
      <c r="E413">
        <v>-94.863248310000003</v>
      </c>
    </row>
    <row r="414" spans="1:6" x14ac:dyDescent="0.2">
      <c r="D414" s="5">
        <v>0.3</v>
      </c>
      <c r="E414">
        <v>-94.863248310000003</v>
      </c>
      <c r="F414">
        <v>28.344268710000001</v>
      </c>
    </row>
    <row r="415" spans="1:6" x14ac:dyDescent="0.2">
      <c r="A415">
        <v>8</v>
      </c>
      <c r="B415" s="5">
        <v>0.2</v>
      </c>
      <c r="C415">
        <v>-72.768355909999997</v>
      </c>
      <c r="D415" s="5">
        <v>0.35</v>
      </c>
      <c r="E415">
        <v>-94.863248310000003</v>
      </c>
    </row>
    <row r="416" spans="1:6" x14ac:dyDescent="0.2">
      <c r="B416" s="5">
        <v>0.2</v>
      </c>
      <c r="D416" s="5">
        <v>0.4</v>
      </c>
      <c r="E416">
        <v>-94.863248310000003</v>
      </c>
    </row>
    <row r="417" spans="1:6" x14ac:dyDescent="0.2">
      <c r="B417" s="5">
        <v>0.6</v>
      </c>
      <c r="D417" s="5">
        <v>0.45</v>
      </c>
      <c r="E417">
        <v>-94.863248310000003</v>
      </c>
    </row>
    <row r="418" spans="1:6" x14ac:dyDescent="0.2">
      <c r="D418" s="5">
        <v>0.5</v>
      </c>
      <c r="E418">
        <v>-94.863248310000003</v>
      </c>
      <c r="F418">
        <v>-15.098775740000001</v>
      </c>
    </row>
    <row r="419" spans="1:6" x14ac:dyDescent="0.2">
      <c r="A419">
        <v>9</v>
      </c>
      <c r="B419" s="5">
        <v>0.25</v>
      </c>
      <c r="C419">
        <v>-65.106105790000001</v>
      </c>
      <c r="D419" s="5">
        <v>0.55000000000000004</v>
      </c>
      <c r="E419">
        <v>-94.863248310000003</v>
      </c>
    </row>
    <row r="420" spans="1:6" x14ac:dyDescent="0.2">
      <c r="B420" s="5">
        <v>0.2</v>
      </c>
      <c r="D420" s="5">
        <v>0.6</v>
      </c>
      <c r="E420">
        <v>-94.863248310000003</v>
      </c>
    </row>
    <row r="421" spans="1:6" x14ac:dyDescent="0.2">
      <c r="B421" s="5">
        <v>0.55000000000000004</v>
      </c>
      <c r="D421" s="5">
        <v>0.65</v>
      </c>
      <c r="E421">
        <v>-94.863248310000003</v>
      </c>
    </row>
    <row r="422" spans="1:6" x14ac:dyDescent="0.2">
      <c r="D422" s="5">
        <v>0.7</v>
      </c>
      <c r="E422">
        <v>-94.863248310000003</v>
      </c>
      <c r="F422">
        <v>-26.117553350000001</v>
      </c>
    </row>
    <row r="423" spans="1:6" x14ac:dyDescent="0.2">
      <c r="A423">
        <v>10</v>
      </c>
      <c r="B423" s="5">
        <v>0.25</v>
      </c>
      <c r="C423">
        <v>-61.726319760000003</v>
      </c>
      <c r="D423" s="5">
        <v>0.75</v>
      </c>
      <c r="E423">
        <v>-94.863248310000003</v>
      </c>
    </row>
    <row r="424" spans="1:6" x14ac:dyDescent="0.2">
      <c r="B424" s="5">
        <v>0.25</v>
      </c>
      <c r="D424" s="5">
        <v>0.8</v>
      </c>
      <c r="E424">
        <v>-94.863248310000003</v>
      </c>
    </row>
    <row r="425" spans="1:6" x14ac:dyDescent="0.2">
      <c r="B425" s="5">
        <v>0.5</v>
      </c>
      <c r="D425" s="5">
        <v>0.85</v>
      </c>
      <c r="E425">
        <v>-94.863248310000003</v>
      </c>
    </row>
    <row r="426" spans="1:6" x14ac:dyDescent="0.2">
      <c r="A426">
        <v>11</v>
      </c>
      <c r="D426" s="5">
        <v>0.9</v>
      </c>
      <c r="E426">
        <v>-94.863248310000003</v>
      </c>
      <c r="F426">
        <v>-30.11660779</v>
      </c>
    </row>
    <row r="427" spans="1:6" x14ac:dyDescent="0.2">
      <c r="B427" s="5">
        <v>0.25</v>
      </c>
      <c r="C427">
        <v>-58.421810729999997</v>
      </c>
      <c r="D427" s="5">
        <v>0.95</v>
      </c>
      <c r="E427">
        <v>-94.863248310000003</v>
      </c>
    </row>
    <row r="428" spans="1:6" x14ac:dyDescent="0.2">
      <c r="B428" s="5">
        <v>0.3</v>
      </c>
      <c r="D428" s="5">
        <v>1</v>
      </c>
      <c r="E428">
        <v>-94.863248310000003</v>
      </c>
    </row>
    <row r="429" spans="1:6" x14ac:dyDescent="0.2">
      <c r="B429" s="5">
        <v>0.45</v>
      </c>
    </row>
    <row r="430" spans="1:6" x14ac:dyDescent="0.2">
      <c r="F430">
        <v>-34.115662229999998</v>
      </c>
    </row>
    <row r="431" spans="1:6" x14ac:dyDescent="0.2">
      <c r="A431">
        <v>12</v>
      </c>
      <c r="B431" s="5">
        <v>0.3</v>
      </c>
      <c r="C431">
        <v>-51.298177610000003</v>
      </c>
      <c r="D431">
        <v>0</v>
      </c>
      <c r="E431">
        <v>-84.304209850000007</v>
      </c>
    </row>
    <row r="432" spans="1:6" x14ac:dyDescent="0.2">
      <c r="B432" s="5">
        <v>0.3</v>
      </c>
      <c r="D432">
        <v>50</v>
      </c>
      <c r="E432">
        <v>-86.416017539999999</v>
      </c>
    </row>
    <row r="433" spans="1:6" x14ac:dyDescent="0.2">
      <c r="B433" s="5">
        <v>0.4</v>
      </c>
      <c r="D433">
        <v>100</v>
      </c>
      <c r="E433">
        <v>-88.527825230000005</v>
      </c>
    </row>
    <row r="434" spans="1:6" x14ac:dyDescent="0.2">
      <c r="D434">
        <v>150</v>
      </c>
      <c r="E434">
        <v>-90.639632930000005</v>
      </c>
      <c r="F434">
        <v>-34.115662229999998</v>
      </c>
    </row>
    <row r="435" spans="1:6" x14ac:dyDescent="0.2">
      <c r="A435">
        <v>13</v>
      </c>
      <c r="B435" s="5">
        <v>0.35</v>
      </c>
      <c r="C435">
        <v>-44.242528030000003</v>
      </c>
      <c r="D435">
        <v>200</v>
      </c>
      <c r="E435">
        <v>-92.751440619999997</v>
      </c>
    </row>
    <row r="436" spans="1:6" x14ac:dyDescent="0.2">
      <c r="B436" s="5">
        <v>0.3</v>
      </c>
      <c r="D436">
        <v>250</v>
      </c>
      <c r="E436">
        <v>-94.863248310000003</v>
      </c>
    </row>
    <row r="437" spans="1:6" x14ac:dyDescent="0.2">
      <c r="B437" s="5">
        <v>0.35</v>
      </c>
      <c r="D437">
        <v>300</v>
      </c>
      <c r="E437">
        <v>-96.975055999999995</v>
      </c>
    </row>
    <row r="438" spans="1:6" x14ac:dyDescent="0.2">
      <c r="D438">
        <v>350</v>
      </c>
      <c r="E438">
        <v>-99.086863690000001</v>
      </c>
      <c r="F438">
        <v>-34.115662229999998</v>
      </c>
    </row>
    <row r="439" spans="1:6" x14ac:dyDescent="0.2">
      <c r="A439">
        <v>14</v>
      </c>
      <c r="B439" s="5">
        <v>0.35</v>
      </c>
      <c r="C439">
        <v>-41.22261804</v>
      </c>
      <c r="D439">
        <v>400</v>
      </c>
      <c r="E439">
        <v>-101.19867139999999</v>
      </c>
    </row>
    <row r="440" spans="1:6" x14ac:dyDescent="0.2">
      <c r="B440" s="5">
        <v>0.35</v>
      </c>
      <c r="D440">
        <v>450</v>
      </c>
      <c r="E440">
        <v>-103.31047909999999</v>
      </c>
    </row>
    <row r="441" spans="1:6" x14ac:dyDescent="0.2">
      <c r="B441" s="5">
        <v>0.3</v>
      </c>
      <c r="D441">
        <v>500</v>
      </c>
      <c r="E441">
        <v>-105.42228679999999</v>
      </c>
    </row>
    <row r="442" spans="1:6" x14ac:dyDescent="0.2">
      <c r="D442">
        <v>550</v>
      </c>
      <c r="E442">
        <v>-107.53409449999999</v>
      </c>
      <c r="F442">
        <v>-34.115662229999998</v>
      </c>
    </row>
    <row r="443" spans="1:6" x14ac:dyDescent="0.2">
      <c r="A443">
        <v>15</v>
      </c>
      <c r="B443" s="5">
        <v>0.35</v>
      </c>
      <c r="C443">
        <v>-38.20022823</v>
      </c>
      <c r="D443">
        <v>600</v>
      </c>
      <c r="E443">
        <v>-109.64590219999999</v>
      </c>
    </row>
    <row r="444" spans="1:6" x14ac:dyDescent="0.2">
      <c r="B444" s="5">
        <v>0.4</v>
      </c>
      <c r="D444">
        <v>650</v>
      </c>
      <c r="E444">
        <v>-111.7577098</v>
      </c>
    </row>
    <row r="445" spans="1:6" x14ac:dyDescent="0.2">
      <c r="B445" s="5">
        <v>0.25</v>
      </c>
      <c r="D445">
        <v>700</v>
      </c>
      <c r="E445">
        <v>-113.8695175</v>
      </c>
    </row>
    <row r="446" spans="1:6" x14ac:dyDescent="0.2">
      <c r="D446">
        <v>750</v>
      </c>
      <c r="E446">
        <v>-115.9813252</v>
      </c>
    </row>
    <row r="447" spans="1:6" x14ac:dyDescent="0.2">
      <c r="A447">
        <v>16</v>
      </c>
      <c r="B447" s="5">
        <v>0.4</v>
      </c>
      <c r="C447">
        <v>-31.180505069999999</v>
      </c>
      <c r="D447">
        <v>800</v>
      </c>
      <c r="E447">
        <v>-118.0931329</v>
      </c>
    </row>
    <row r="448" spans="1:6" x14ac:dyDescent="0.2">
      <c r="B448" s="5">
        <v>0.4</v>
      </c>
      <c r="D448">
        <v>850</v>
      </c>
      <c r="E448">
        <v>-120.2049406</v>
      </c>
    </row>
    <row r="449" spans="1:5" x14ac:dyDescent="0.2">
      <c r="B449" s="5">
        <v>0.2</v>
      </c>
      <c r="D449">
        <v>900</v>
      </c>
      <c r="E449">
        <v>-122.3167483</v>
      </c>
    </row>
    <row r="450" spans="1:5" x14ac:dyDescent="0.2">
      <c r="D450">
        <v>1000</v>
      </c>
      <c r="E450">
        <v>-126.5403637</v>
      </c>
    </row>
    <row r="451" spans="1:5" x14ac:dyDescent="0.2">
      <c r="A451">
        <v>17</v>
      </c>
      <c r="B451" s="5">
        <v>0.45</v>
      </c>
      <c r="C451">
        <v>-24.1607819</v>
      </c>
    </row>
    <row r="452" spans="1:5" x14ac:dyDescent="0.2">
      <c r="B452" s="5">
        <v>0.4</v>
      </c>
    </row>
    <row r="453" spans="1:5" x14ac:dyDescent="0.2">
      <c r="B453" s="5">
        <v>0.15</v>
      </c>
    </row>
    <row r="455" spans="1:5" x14ac:dyDescent="0.2">
      <c r="A455">
        <v>18</v>
      </c>
      <c r="B455" s="5">
        <v>0.45</v>
      </c>
      <c r="C455">
        <v>-21.14011318</v>
      </c>
    </row>
    <row r="456" spans="1:5" x14ac:dyDescent="0.2">
      <c r="B456" s="5">
        <v>0.45</v>
      </c>
    </row>
    <row r="457" spans="1:5" x14ac:dyDescent="0.2">
      <c r="B457" s="5">
        <v>0.1</v>
      </c>
    </row>
    <row r="459" spans="1:5" x14ac:dyDescent="0.2">
      <c r="A459">
        <v>19</v>
      </c>
      <c r="B459" s="5">
        <v>0.45</v>
      </c>
      <c r="C459">
        <v>-18.11944446</v>
      </c>
    </row>
    <row r="460" spans="1:5" x14ac:dyDescent="0.2">
      <c r="B460" s="5">
        <v>0.5</v>
      </c>
    </row>
    <row r="461" spans="1:5" x14ac:dyDescent="0.2">
      <c r="B461" s="5">
        <v>0.05</v>
      </c>
    </row>
    <row r="463" spans="1:5" x14ac:dyDescent="0.2">
      <c r="A463">
        <v>20</v>
      </c>
      <c r="B463" s="5">
        <v>0.5</v>
      </c>
      <c r="C463">
        <v>-11.099721300000001</v>
      </c>
    </row>
    <row r="464" spans="1:5" x14ac:dyDescent="0.2">
      <c r="B464" s="5">
        <v>0.5</v>
      </c>
    </row>
    <row r="465" spans="1:3" x14ac:dyDescent="0.2">
      <c r="B465" s="5">
        <v>0</v>
      </c>
    </row>
    <row r="467" spans="1:3" x14ac:dyDescent="0.2">
      <c r="A467">
        <v>21</v>
      </c>
      <c r="B467" s="5">
        <v>0.55000000000000004</v>
      </c>
      <c r="C467">
        <v>-10.143801890000001</v>
      </c>
    </row>
    <row r="468" spans="1:3" x14ac:dyDescent="0.2">
      <c r="B468" s="5">
        <v>0.4</v>
      </c>
    </row>
    <row r="469" spans="1:3" x14ac:dyDescent="0.2">
      <c r="B469" s="5">
        <v>0.05</v>
      </c>
    </row>
    <row r="471" spans="1:3" x14ac:dyDescent="0.2">
      <c r="A471">
        <v>22</v>
      </c>
      <c r="B471" s="5">
        <v>0.6</v>
      </c>
      <c r="C471">
        <v>-9.1899232800000004</v>
      </c>
    </row>
    <row r="472" spans="1:3" x14ac:dyDescent="0.2">
      <c r="B472" s="5">
        <v>0.3</v>
      </c>
    </row>
    <row r="473" spans="1:3" x14ac:dyDescent="0.2">
      <c r="B473" s="5">
        <v>0.1</v>
      </c>
    </row>
    <row r="475" spans="1:3" x14ac:dyDescent="0.2">
      <c r="A475">
        <v>23</v>
      </c>
      <c r="B475" s="5">
        <v>0.65</v>
      </c>
      <c r="C475">
        <v>-8.2360446679999999</v>
      </c>
    </row>
    <row r="476" spans="1:3" x14ac:dyDescent="0.2">
      <c r="B476" s="5">
        <v>0.2</v>
      </c>
    </row>
    <row r="477" spans="1:3" x14ac:dyDescent="0.2">
      <c r="B477" s="5">
        <v>0.15</v>
      </c>
    </row>
    <row r="479" spans="1:3" x14ac:dyDescent="0.2">
      <c r="A479">
        <v>24</v>
      </c>
      <c r="B479" s="5">
        <v>0.7</v>
      </c>
      <c r="C479">
        <v>-7.2821660560000003</v>
      </c>
    </row>
    <row r="480" spans="1:3" x14ac:dyDescent="0.2">
      <c r="B480" s="5">
        <v>0.1</v>
      </c>
    </row>
    <row r="481" spans="1:3" x14ac:dyDescent="0.2">
      <c r="B481" s="5">
        <v>0.2</v>
      </c>
    </row>
    <row r="483" spans="1:3" x14ac:dyDescent="0.2">
      <c r="A483">
        <v>25</v>
      </c>
      <c r="B483" s="5">
        <v>0.8</v>
      </c>
      <c r="C483">
        <v>0.66653952100000002</v>
      </c>
    </row>
    <row r="484" spans="1:3" x14ac:dyDescent="0.2">
      <c r="B484" s="5">
        <v>0</v>
      </c>
    </row>
    <row r="485" spans="1:3" x14ac:dyDescent="0.2">
      <c r="B485" s="5">
        <v>0.2</v>
      </c>
    </row>
    <row r="487" spans="1:3" x14ac:dyDescent="0.2">
      <c r="A487">
        <v>26</v>
      </c>
      <c r="B487" s="5">
        <v>0.85</v>
      </c>
      <c r="C487">
        <v>10.641610010000001</v>
      </c>
    </row>
    <row r="488" spans="1:3" x14ac:dyDescent="0.2">
      <c r="B488" s="5">
        <v>0.05</v>
      </c>
    </row>
    <row r="489" spans="1:3" x14ac:dyDescent="0.2">
      <c r="B489" s="5">
        <v>0.1</v>
      </c>
    </row>
    <row r="491" spans="1:3" x14ac:dyDescent="0.2">
      <c r="A491">
        <v>27</v>
      </c>
      <c r="B491" s="5">
        <v>0.8</v>
      </c>
      <c r="C491">
        <v>12.65339234</v>
      </c>
    </row>
    <row r="492" spans="1:3" x14ac:dyDescent="0.2">
      <c r="B492" s="5">
        <v>0.2</v>
      </c>
    </row>
    <row r="493" spans="1:3" x14ac:dyDescent="0.2">
      <c r="B493" s="5">
        <v>0</v>
      </c>
    </row>
    <row r="495" spans="1:3" x14ac:dyDescent="0.2">
      <c r="A495">
        <v>28</v>
      </c>
      <c r="B495" s="5">
        <v>0.85</v>
      </c>
      <c r="C495">
        <v>13.608860719999999</v>
      </c>
    </row>
    <row r="496" spans="1:3" x14ac:dyDescent="0.2">
      <c r="B496" s="5">
        <v>0.1</v>
      </c>
    </row>
    <row r="497" spans="1:3" x14ac:dyDescent="0.2">
      <c r="B497" s="5">
        <v>0.05</v>
      </c>
    </row>
    <row r="499" spans="1:3" x14ac:dyDescent="0.2">
      <c r="A499">
        <v>29</v>
      </c>
      <c r="B499" s="5">
        <v>0.9</v>
      </c>
      <c r="C499">
        <v>17.53157981</v>
      </c>
    </row>
    <row r="500" spans="1:3" x14ac:dyDescent="0.2">
      <c r="B500" s="5">
        <v>0.05</v>
      </c>
    </row>
    <row r="501" spans="1:3" x14ac:dyDescent="0.2">
      <c r="B501" s="5">
        <v>0.05</v>
      </c>
    </row>
    <row r="503" spans="1:3" x14ac:dyDescent="0.2">
      <c r="A503">
        <v>30</v>
      </c>
      <c r="B503" s="5">
        <v>0.95</v>
      </c>
      <c r="C503">
        <v>24.42154961</v>
      </c>
    </row>
    <row r="504" spans="1:3" x14ac:dyDescent="0.2">
      <c r="B504" s="5">
        <v>0.05</v>
      </c>
    </row>
    <row r="505" spans="1:3" x14ac:dyDescent="0.2">
      <c r="B505" s="5">
        <v>0</v>
      </c>
    </row>
    <row r="507" spans="1:3" x14ac:dyDescent="0.2">
      <c r="A507">
        <v>31</v>
      </c>
      <c r="B507" s="5">
        <v>1</v>
      </c>
      <c r="C507">
        <v>28.344268710000001</v>
      </c>
    </row>
    <row r="508" spans="1:3" x14ac:dyDescent="0.2">
      <c r="B508" s="5">
        <v>0</v>
      </c>
    </row>
    <row r="509" spans="1:3" x14ac:dyDescent="0.2">
      <c r="B509" s="5">
        <v>0</v>
      </c>
    </row>
    <row r="511" spans="1:3" x14ac:dyDescent="0.2">
      <c r="A511">
        <v>32</v>
      </c>
      <c r="B511" s="5">
        <v>0.45</v>
      </c>
      <c r="C511">
        <v>-15.098775740000001</v>
      </c>
    </row>
    <row r="512" spans="1:3" x14ac:dyDescent="0.2">
      <c r="B512" s="5">
        <v>0.55000000000000004</v>
      </c>
    </row>
    <row r="513" spans="1:3" x14ac:dyDescent="0.2">
      <c r="B513" s="5">
        <v>0</v>
      </c>
    </row>
    <row r="515" spans="1:3" x14ac:dyDescent="0.2">
      <c r="A515">
        <v>33</v>
      </c>
      <c r="B515" s="5">
        <v>0.35</v>
      </c>
      <c r="C515">
        <v>-26.117553350000001</v>
      </c>
    </row>
    <row r="516" spans="1:3" x14ac:dyDescent="0.2">
      <c r="B516" s="5">
        <v>0.6</v>
      </c>
    </row>
    <row r="517" spans="1:3" x14ac:dyDescent="0.2">
      <c r="B517" s="5">
        <v>0.05</v>
      </c>
    </row>
    <row r="519" spans="1:3" x14ac:dyDescent="0.2">
      <c r="A519">
        <v>34</v>
      </c>
      <c r="B519" s="5">
        <v>0.3</v>
      </c>
      <c r="C519">
        <v>-30.11660779</v>
      </c>
    </row>
    <row r="520" spans="1:3" x14ac:dyDescent="0.2">
      <c r="B520" s="5">
        <v>0.65</v>
      </c>
    </row>
    <row r="521" spans="1:3" x14ac:dyDescent="0.2">
      <c r="B521" s="5">
        <v>0.05</v>
      </c>
    </row>
    <row r="523" spans="1:3" x14ac:dyDescent="0.2">
      <c r="A523">
        <v>35</v>
      </c>
      <c r="B523" s="5">
        <v>0.25</v>
      </c>
      <c r="C523">
        <v>-34.115662229999998</v>
      </c>
    </row>
    <row r="524" spans="1:3" x14ac:dyDescent="0.2">
      <c r="B524" s="5">
        <v>0.7</v>
      </c>
    </row>
    <row r="525" spans="1:3" x14ac:dyDescent="0.2">
      <c r="B525" s="5">
        <v>0.05</v>
      </c>
    </row>
    <row r="527" spans="1:3" x14ac:dyDescent="0.2">
      <c r="A527">
        <v>36</v>
      </c>
      <c r="B527" s="5">
        <v>0.15</v>
      </c>
      <c r="C527">
        <v>-42.113771110000002</v>
      </c>
    </row>
    <row r="528" spans="1:3" x14ac:dyDescent="0.2">
      <c r="B528" s="5">
        <v>0.8</v>
      </c>
    </row>
    <row r="529" spans="1:3" x14ac:dyDescent="0.2">
      <c r="B529" s="5">
        <v>0.05</v>
      </c>
    </row>
    <row r="531" spans="1:3" x14ac:dyDescent="0.2">
      <c r="B531" s="5">
        <v>0.05</v>
      </c>
      <c r="C531">
        <v>-51.090265709999997</v>
      </c>
    </row>
    <row r="532" spans="1:3" x14ac:dyDescent="0.2">
      <c r="B532" s="5">
        <v>0.9</v>
      </c>
    </row>
    <row r="533" spans="1:3" x14ac:dyDescent="0.2">
      <c r="B533" s="5">
        <v>0.05</v>
      </c>
    </row>
    <row r="535" spans="1:3" x14ac:dyDescent="0.2">
      <c r="A535" s="5"/>
      <c r="B535" s="5">
        <v>0</v>
      </c>
      <c r="C535">
        <v>-34.115662229999998</v>
      </c>
    </row>
    <row r="536" spans="1:3" x14ac:dyDescent="0.2">
      <c r="A536" s="5"/>
      <c r="B536" s="5">
        <v>1</v>
      </c>
    </row>
    <row r="537" spans="1:3" x14ac:dyDescent="0.2">
      <c r="A537" s="5"/>
      <c r="B537" s="5">
        <v>0</v>
      </c>
    </row>
    <row r="634" spans="1:4" x14ac:dyDescent="0.2">
      <c r="A634" t="s">
        <v>578</v>
      </c>
    </row>
    <row r="635" spans="1:4" x14ac:dyDescent="0.2">
      <c r="A635">
        <v>1</v>
      </c>
      <c r="B635" s="5">
        <v>0.05</v>
      </c>
      <c r="C635">
        <v>-94.863248310000003</v>
      </c>
    </row>
    <row r="636" spans="1:4" x14ac:dyDescent="0.2">
      <c r="A636" t="s">
        <v>583</v>
      </c>
      <c r="B636" s="5">
        <v>0.95</v>
      </c>
    </row>
    <row r="638" spans="1:4" x14ac:dyDescent="0.2">
      <c r="A638">
        <v>2</v>
      </c>
      <c r="B638" s="5">
        <v>0.1</v>
      </c>
      <c r="C638">
        <v>-94.863248310000003</v>
      </c>
      <c r="D638" s="5"/>
    </row>
    <row r="639" spans="1:4" x14ac:dyDescent="0.2">
      <c r="B639" s="5">
        <v>0.9</v>
      </c>
      <c r="D639" s="5"/>
    </row>
    <row r="641" spans="1:3" x14ac:dyDescent="0.2">
      <c r="A641">
        <v>3</v>
      </c>
      <c r="B641" s="5">
        <v>0.15</v>
      </c>
      <c r="C641">
        <v>-94.863248310000003</v>
      </c>
    </row>
    <row r="642" spans="1:3" x14ac:dyDescent="0.2">
      <c r="B642" s="5">
        <v>0.85</v>
      </c>
    </row>
    <row r="644" spans="1:3" x14ac:dyDescent="0.2">
      <c r="A644">
        <v>4</v>
      </c>
      <c r="B644" s="5">
        <v>0.2</v>
      </c>
      <c r="C644">
        <v>-94.863248310000003</v>
      </c>
    </row>
    <row r="645" spans="1:3" x14ac:dyDescent="0.2">
      <c r="B645" s="5">
        <v>0.8</v>
      </c>
    </row>
    <row r="647" spans="1:3" x14ac:dyDescent="0.2">
      <c r="A647">
        <v>5</v>
      </c>
      <c r="B647" s="5">
        <v>0.25</v>
      </c>
      <c r="C647">
        <v>-94.863248310000003</v>
      </c>
    </row>
    <row r="648" spans="1:3" x14ac:dyDescent="0.2">
      <c r="B648" s="5">
        <v>0.75</v>
      </c>
    </row>
    <row r="650" spans="1:3" x14ac:dyDescent="0.2">
      <c r="A650">
        <v>6</v>
      </c>
      <c r="B650" s="5">
        <v>0.3</v>
      </c>
      <c r="C650">
        <v>-94.863248310000003</v>
      </c>
    </row>
    <row r="651" spans="1:3" x14ac:dyDescent="0.2">
      <c r="B651" s="5">
        <v>0.7</v>
      </c>
    </row>
    <row r="653" spans="1:3" x14ac:dyDescent="0.2">
      <c r="A653">
        <v>7</v>
      </c>
      <c r="B653" s="5">
        <v>0.35</v>
      </c>
      <c r="C653">
        <v>-94.863248310000003</v>
      </c>
    </row>
    <row r="654" spans="1:3" x14ac:dyDescent="0.2">
      <c r="B654" s="5">
        <v>0.65</v>
      </c>
    </row>
    <row r="656" spans="1:3" x14ac:dyDescent="0.2">
      <c r="A656">
        <v>8</v>
      </c>
      <c r="B656" s="5">
        <v>0.4</v>
      </c>
      <c r="C656">
        <v>-94.863248310000003</v>
      </c>
    </row>
    <row r="657" spans="1:3" x14ac:dyDescent="0.2">
      <c r="B657" s="5">
        <v>0.6</v>
      </c>
    </row>
    <row r="659" spans="1:3" x14ac:dyDescent="0.2">
      <c r="A659">
        <v>9</v>
      </c>
      <c r="B659" s="5">
        <v>0.45</v>
      </c>
      <c r="C659">
        <v>-94.863248310000003</v>
      </c>
    </row>
    <row r="660" spans="1:3" x14ac:dyDescent="0.2">
      <c r="B660" s="5">
        <v>0.55000000000000004</v>
      </c>
    </row>
    <row r="662" spans="1:3" x14ac:dyDescent="0.2">
      <c r="A662">
        <v>10</v>
      </c>
      <c r="B662" s="5">
        <v>0.5</v>
      </c>
      <c r="C662">
        <v>-94.863248310000003</v>
      </c>
    </row>
    <row r="663" spans="1:3" x14ac:dyDescent="0.2">
      <c r="B663" s="5">
        <v>0.5</v>
      </c>
    </row>
    <row r="665" spans="1:3" x14ac:dyDescent="0.2">
      <c r="A665">
        <v>11</v>
      </c>
      <c r="B665" s="5">
        <v>0.55000000000000004</v>
      </c>
      <c r="C665">
        <v>-94.863248310000003</v>
      </c>
    </row>
    <row r="666" spans="1:3" x14ac:dyDescent="0.2">
      <c r="B666" s="5">
        <v>0.45</v>
      </c>
    </row>
    <row r="668" spans="1:3" x14ac:dyDescent="0.2">
      <c r="A668">
        <v>12</v>
      </c>
      <c r="B668" s="5">
        <v>0.6</v>
      </c>
      <c r="C668">
        <v>-94.863248310000003</v>
      </c>
    </row>
    <row r="669" spans="1:3" x14ac:dyDescent="0.2">
      <c r="B669" s="5">
        <v>0.4</v>
      </c>
    </row>
    <row r="671" spans="1:3" x14ac:dyDescent="0.2">
      <c r="A671">
        <v>13</v>
      </c>
      <c r="B671" s="5">
        <v>0.65</v>
      </c>
      <c r="C671">
        <v>-94.863248310000003</v>
      </c>
    </row>
    <row r="672" spans="1:3" x14ac:dyDescent="0.2">
      <c r="B672" s="5">
        <v>0.35</v>
      </c>
    </row>
    <row r="674" spans="1:3" x14ac:dyDescent="0.2">
      <c r="A674">
        <v>14</v>
      </c>
      <c r="B674" s="5">
        <v>0.7</v>
      </c>
      <c r="C674">
        <v>-94.863248310000003</v>
      </c>
    </row>
    <row r="675" spans="1:3" x14ac:dyDescent="0.2">
      <c r="B675" s="5">
        <v>0.3</v>
      </c>
    </row>
    <row r="677" spans="1:3" x14ac:dyDescent="0.2">
      <c r="A677">
        <v>15</v>
      </c>
      <c r="B677" s="5">
        <v>0.75</v>
      </c>
      <c r="C677">
        <v>-94.863248310000003</v>
      </c>
    </row>
    <row r="678" spans="1:3" x14ac:dyDescent="0.2">
      <c r="B678" s="5">
        <v>0.25</v>
      </c>
    </row>
    <row r="680" spans="1:3" x14ac:dyDescent="0.2">
      <c r="A680">
        <v>16</v>
      </c>
      <c r="B680" s="5">
        <v>0.8</v>
      </c>
      <c r="C680">
        <v>-94.863248310000003</v>
      </c>
    </row>
    <row r="681" spans="1:3" x14ac:dyDescent="0.2">
      <c r="B681" s="5">
        <v>0.2</v>
      </c>
    </row>
    <row r="683" spans="1:3" x14ac:dyDescent="0.2">
      <c r="A683">
        <v>17</v>
      </c>
      <c r="B683" s="5">
        <v>0.85</v>
      </c>
      <c r="C683">
        <v>-94.863248310000003</v>
      </c>
    </row>
    <row r="684" spans="1:3" x14ac:dyDescent="0.2">
      <c r="B684" s="5">
        <v>0.15</v>
      </c>
    </row>
    <row r="686" spans="1:3" x14ac:dyDescent="0.2">
      <c r="A686">
        <v>18</v>
      </c>
      <c r="B686" s="5">
        <v>0.9</v>
      </c>
      <c r="C686">
        <v>-94.863248310000003</v>
      </c>
    </row>
    <row r="687" spans="1:3" x14ac:dyDescent="0.2">
      <c r="B687" s="5">
        <v>0.1</v>
      </c>
    </row>
    <row r="689" spans="1:5" x14ac:dyDescent="0.2">
      <c r="A689">
        <v>19</v>
      </c>
      <c r="B689" s="5">
        <v>0.95</v>
      </c>
      <c r="C689">
        <v>-94.863248310000003</v>
      </c>
    </row>
    <row r="690" spans="1:5" x14ac:dyDescent="0.2">
      <c r="B690" s="5">
        <v>0.05</v>
      </c>
    </row>
    <row r="692" spans="1:5" x14ac:dyDescent="0.2">
      <c r="A692">
        <v>20</v>
      </c>
      <c r="B692" s="5">
        <v>1</v>
      </c>
      <c r="C692">
        <v>-94.863248310000003</v>
      </c>
    </row>
    <row r="693" spans="1:5" x14ac:dyDescent="0.2">
      <c r="B693" s="5">
        <v>0</v>
      </c>
    </row>
    <row r="695" spans="1:5" x14ac:dyDescent="0.2">
      <c r="A695" t="s">
        <v>580</v>
      </c>
    </row>
    <row r="696" spans="1:5" x14ac:dyDescent="0.2">
      <c r="A696">
        <v>1</v>
      </c>
      <c r="B696">
        <v>0</v>
      </c>
      <c r="C696">
        <f>D257</f>
        <v>-97.736998923196424</v>
      </c>
      <c r="D696">
        <v>-84.304209850000007</v>
      </c>
      <c r="E696">
        <v>550</v>
      </c>
    </row>
    <row r="697" spans="1:5" x14ac:dyDescent="0.2">
      <c r="A697" t="s">
        <v>581</v>
      </c>
    </row>
    <row r="698" spans="1:5" x14ac:dyDescent="0.2">
      <c r="A698">
        <v>2</v>
      </c>
      <c r="B698">
        <v>50</v>
      </c>
      <c r="C698">
        <f>D257</f>
        <v>-97.736998923196424</v>
      </c>
      <c r="D698">
        <v>-86.416017539999999</v>
      </c>
    </row>
    <row r="700" spans="1:5" x14ac:dyDescent="0.2">
      <c r="A700">
        <v>3</v>
      </c>
      <c r="B700">
        <v>100</v>
      </c>
      <c r="C700">
        <f>D257</f>
        <v>-97.736998923196424</v>
      </c>
      <c r="D700">
        <v>-88.527825230000005</v>
      </c>
    </row>
    <row r="702" spans="1:5" x14ac:dyDescent="0.2">
      <c r="A702">
        <v>4</v>
      </c>
      <c r="B702">
        <v>150</v>
      </c>
      <c r="C702">
        <f>D257</f>
        <v>-97.736998923196424</v>
      </c>
      <c r="D702">
        <v>-90.639632930000005</v>
      </c>
    </row>
    <row r="704" spans="1:5" x14ac:dyDescent="0.2">
      <c r="A704">
        <v>5</v>
      </c>
      <c r="B704">
        <v>200</v>
      </c>
      <c r="C704">
        <f>D257</f>
        <v>-97.736998923196424</v>
      </c>
      <c r="D704">
        <v>-92.751440619999997</v>
      </c>
    </row>
    <row r="706" spans="1:4" x14ac:dyDescent="0.2">
      <c r="A706">
        <v>6</v>
      </c>
      <c r="B706">
        <v>250</v>
      </c>
      <c r="C706">
        <f>D257</f>
        <v>-97.736998923196424</v>
      </c>
      <c r="D706">
        <v>-94.863248310000003</v>
      </c>
    </row>
    <row r="708" spans="1:4" x14ac:dyDescent="0.2">
      <c r="A708">
        <v>7</v>
      </c>
      <c r="B708">
        <v>300</v>
      </c>
      <c r="C708">
        <f>D257</f>
        <v>-97.736998923196424</v>
      </c>
      <c r="D708">
        <v>-96.975055999999995</v>
      </c>
    </row>
    <row r="710" spans="1:4" x14ac:dyDescent="0.2">
      <c r="A710">
        <v>8</v>
      </c>
      <c r="B710">
        <v>350</v>
      </c>
      <c r="C710">
        <f>D257</f>
        <v>-97.736998923196424</v>
      </c>
      <c r="D710">
        <v>-99.086863690000001</v>
      </c>
    </row>
    <row r="712" spans="1:4" x14ac:dyDescent="0.2">
      <c r="A712">
        <v>9</v>
      </c>
      <c r="B712">
        <v>400</v>
      </c>
      <c r="C712">
        <f>D257</f>
        <v>-97.736998923196424</v>
      </c>
      <c r="D712">
        <v>-101.19867139999999</v>
      </c>
    </row>
    <row r="714" spans="1:4" x14ac:dyDescent="0.2">
      <c r="A714">
        <v>10</v>
      </c>
      <c r="B714">
        <v>450</v>
      </c>
      <c r="C714">
        <f>D257</f>
        <v>-97.736998923196424</v>
      </c>
      <c r="D714">
        <v>-103.31047909999999</v>
      </c>
    </row>
    <row r="716" spans="1:4" x14ac:dyDescent="0.2">
      <c r="A716">
        <v>11</v>
      </c>
      <c r="B716">
        <v>500</v>
      </c>
      <c r="C716">
        <f>D257</f>
        <v>-97.736998923196424</v>
      </c>
      <c r="D716">
        <v>-105.42228679999999</v>
      </c>
    </row>
    <row r="718" spans="1:4" x14ac:dyDescent="0.2">
      <c r="A718">
        <v>12</v>
      </c>
      <c r="B718">
        <v>550</v>
      </c>
      <c r="C718">
        <f>D257</f>
        <v>-97.736998923196424</v>
      </c>
      <c r="D718">
        <v>-107.53409449999999</v>
      </c>
    </row>
    <row r="720" spans="1:4" x14ac:dyDescent="0.2">
      <c r="A720">
        <v>13</v>
      </c>
      <c r="B720">
        <v>600</v>
      </c>
      <c r="C720">
        <f>D257</f>
        <v>-97.736998923196424</v>
      </c>
      <c r="D720">
        <v>-109.64590219999999</v>
      </c>
    </row>
    <row r="722" spans="1:4" x14ac:dyDescent="0.2">
      <c r="A722">
        <v>14</v>
      </c>
      <c r="B722">
        <v>650</v>
      </c>
      <c r="C722">
        <f>D257</f>
        <v>-97.736998923196424</v>
      </c>
      <c r="D722">
        <v>-111.7577098</v>
      </c>
    </row>
    <row r="724" spans="1:4" x14ac:dyDescent="0.2">
      <c r="A724">
        <v>15</v>
      </c>
      <c r="B724">
        <v>700</v>
      </c>
      <c r="C724">
        <f>D257</f>
        <v>-97.736998923196424</v>
      </c>
      <c r="D724">
        <v>-113.8695175</v>
      </c>
    </row>
    <row r="726" spans="1:4" x14ac:dyDescent="0.2">
      <c r="A726">
        <v>16</v>
      </c>
      <c r="B726">
        <v>750</v>
      </c>
      <c r="C726">
        <f>D257</f>
        <v>-97.736998923196424</v>
      </c>
      <c r="D726">
        <v>-115.9813252</v>
      </c>
    </row>
    <row r="728" spans="1:4" x14ac:dyDescent="0.2">
      <c r="A728">
        <v>17</v>
      </c>
      <c r="B728">
        <v>800</v>
      </c>
      <c r="C728">
        <f>D257</f>
        <v>-97.736998923196424</v>
      </c>
      <c r="D728">
        <v>-118.0931329</v>
      </c>
    </row>
    <row r="730" spans="1:4" x14ac:dyDescent="0.2">
      <c r="A730">
        <v>18</v>
      </c>
      <c r="B730">
        <v>850</v>
      </c>
      <c r="C730">
        <f>D257</f>
        <v>-97.736998923196424</v>
      </c>
      <c r="D730">
        <v>-120.2049406</v>
      </c>
    </row>
    <row r="732" spans="1:4" x14ac:dyDescent="0.2">
      <c r="A732">
        <v>19</v>
      </c>
      <c r="B732">
        <v>900</v>
      </c>
      <c r="C732">
        <f>D257</f>
        <v>-97.736998923196424</v>
      </c>
      <c r="D732">
        <v>-122.3167483</v>
      </c>
    </row>
    <row r="734" spans="1:4" x14ac:dyDescent="0.2">
      <c r="A734">
        <v>20</v>
      </c>
      <c r="B734">
        <v>1000</v>
      </c>
      <c r="C734">
        <f>D257</f>
        <v>-97.736998923196424</v>
      </c>
      <c r="D734">
        <v>-126.5403637</v>
      </c>
    </row>
    <row r="763" spans="11:12" x14ac:dyDescent="0.2">
      <c r="K763" t="s">
        <v>9</v>
      </c>
      <c r="L763" t="s">
        <v>10</v>
      </c>
    </row>
    <row r="764" spans="11:12" x14ac:dyDescent="0.2">
      <c r="K764" s="2">
        <v>0</v>
      </c>
      <c r="L764" s="2">
        <v>0</v>
      </c>
    </row>
    <row r="783" spans="11:12" x14ac:dyDescent="0.2">
      <c r="K783" t="s">
        <v>9</v>
      </c>
      <c r="L783" t="s">
        <v>10</v>
      </c>
    </row>
    <row r="784" spans="11:12" x14ac:dyDescent="0.2">
      <c r="K784" s="2">
        <v>0</v>
      </c>
      <c r="L784" s="2">
        <v>0</v>
      </c>
    </row>
    <row r="992" spans="2:9" x14ac:dyDescent="0.2">
      <c r="B992" s="4" t="s">
        <v>5</v>
      </c>
      <c r="C992" s="4" t="s">
        <v>6</v>
      </c>
      <c r="D992" s="4" t="s">
        <v>7</v>
      </c>
      <c r="E992" s="4" t="s">
        <v>8</v>
      </c>
      <c r="F992" s="4" t="s">
        <v>9</v>
      </c>
      <c r="G992" s="4" t="s">
        <v>10</v>
      </c>
      <c r="H992" s="4" t="s">
        <v>36</v>
      </c>
      <c r="I992" s="4" t="s">
        <v>196</v>
      </c>
    </row>
    <row r="993" spans="1:9" x14ac:dyDescent="0.2">
      <c r="A993" t="s">
        <v>2</v>
      </c>
      <c r="B993">
        <v>51</v>
      </c>
      <c r="C993">
        <v>54</v>
      </c>
      <c r="D993">
        <v>60</v>
      </c>
      <c r="E993">
        <v>78</v>
      </c>
      <c r="F993">
        <v>72</v>
      </c>
      <c r="G993">
        <v>57</v>
      </c>
      <c r="H993">
        <v>0</v>
      </c>
      <c r="I993">
        <f>G993+F993+E993+D993+C993+B993</f>
        <v>372</v>
      </c>
    </row>
    <row r="994" spans="1:9" x14ac:dyDescent="0.2">
      <c r="A994" t="s">
        <v>3</v>
      </c>
      <c r="B994">
        <f t="shared" ref="B994:G994" si="33">B995/B993</f>
        <v>33.333333333333336</v>
      </c>
      <c r="C994">
        <f t="shared" si="33"/>
        <v>33.333333333333336</v>
      </c>
      <c r="D994">
        <f t="shared" si="33"/>
        <v>33.333333333333336</v>
      </c>
      <c r="E994">
        <f t="shared" si="33"/>
        <v>33.333333333333336</v>
      </c>
      <c r="F994">
        <f t="shared" si="33"/>
        <v>33.333333333333336</v>
      </c>
      <c r="G994">
        <f t="shared" si="33"/>
        <v>33.333333333333336</v>
      </c>
    </row>
    <row r="995" spans="1:9" x14ac:dyDescent="0.2">
      <c r="A995" t="s">
        <v>4</v>
      </c>
      <c r="B995">
        <v>1700</v>
      </c>
      <c r="C995">
        <v>1800</v>
      </c>
      <c r="D995">
        <v>2000</v>
      </c>
      <c r="E995">
        <v>2600</v>
      </c>
      <c r="F995">
        <v>2400</v>
      </c>
      <c r="G995">
        <v>1900</v>
      </c>
      <c r="H995">
        <v>0</v>
      </c>
    </row>
    <row r="997" spans="1:9" x14ac:dyDescent="0.2">
      <c r="F997" s="1" t="s">
        <v>11</v>
      </c>
    </row>
    <row r="999" spans="1:9" x14ac:dyDescent="0.2">
      <c r="F999" t="s">
        <v>12</v>
      </c>
    </row>
    <row r="1000" spans="1:9" x14ac:dyDescent="0.2">
      <c r="F1000" t="s">
        <v>13</v>
      </c>
      <c r="G1000" s="2">
        <v>10</v>
      </c>
      <c r="H1000" t="s">
        <v>21</v>
      </c>
    </row>
    <row r="1002" spans="1:9" x14ac:dyDescent="0.2">
      <c r="B1002" s="4" t="s">
        <v>19</v>
      </c>
      <c r="C1002" s="4" t="s">
        <v>20</v>
      </c>
      <c r="D1002" s="4" t="s">
        <v>7</v>
      </c>
      <c r="E1002" s="4" t="s">
        <v>8</v>
      </c>
      <c r="F1002" s="4" t="s">
        <v>9</v>
      </c>
      <c r="G1002" s="4" t="s">
        <v>10</v>
      </c>
      <c r="H1002" s="4" t="s">
        <v>36</v>
      </c>
    </row>
    <row r="1003" spans="1:9" x14ac:dyDescent="0.2">
      <c r="A1003" t="s">
        <v>14</v>
      </c>
      <c r="B1003">
        <f>B993</f>
        <v>51</v>
      </c>
      <c r="C1003">
        <f t="shared" ref="C1003:H1003" si="34">C993</f>
        <v>54</v>
      </c>
      <c r="D1003">
        <f t="shared" si="34"/>
        <v>60</v>
      </c>
      <c r="E1003">
        <f t="shared" si="34"/>
        <v>78</v>
      </c>
      <c r="F1003">
        <f t="shared" si="34"/>
        <v>72</v>
      </c>
      <c r="G1003">
        <f t="shared" si="34"/>
        <v>57</v>
      </c>
      <c r="H1003">
        <f t="shared" si="34"/>
        <v>0</v>
      </c>
    </row>
    <row r="1004" spans="1:9" x14ac:dyDescent="0.2">
      <c r="A1004" t="s">
        <v>15</v>
      </c>
      <c r="B1004">
        <f>B1003 *CONCATENATE(G1000)/100</f>
        <v>5.0999999999999996</v>
      </c>
      <c r="C1004">
        <f>C1003 *CONCATENATE(G1000)/100</f>
        <v>5.4</v>
      </c>
      <c r="D1004">
        <f>D1003 *CONCATENATE(G1000)/100</f>
        <v>6</v>
      </c>
      <c r="E1004">
        <f>E1003 *CONCATENATE(G1000)/100</f>
        <v>7.8</v>
      </c>
      <c r="F1004">
        <f>F1003 *CONCATENATE(G1000)/100</f>
        <v>7.2</v>
      </c>
      <c r="G1004">
        <f>G1003 *CONCATENATE(G1000)/100</f>
        <v>5.7</v>
      </c>
      <c r="H1004">
        <f>H1003 *CONCATENATE(G1000)/100</f>
        <v>0</v>
      </c>
    </row>
    <row r="1005" spans="1:9" x14ac:dyDescent="0.2">
      <c r="A1005" t="s">
        <v>16</v>
      </c>
      <c r="B1005">
        <f t="shared" ref="B1005:H1005" si="35">SUM(B1003,B1004)</f>
        <v>56.1</v>
      </c>
      <c r="C1005">
        <f t="shared" si="35"/>
        <v>59.4</v>
      </c>
      <c r="D1005">
        <f t="shared" si="35"/>
        <v>66</v>
      </c>
      <c r="E1005">
        <f t="shared" si="35"/>
        <v>85.8</v>
      </c>
      <c r="F1005">
        <f t="shared" si="35"/>
        <v>79.2</v>
      </c>
      <c r="G1005">
        <f t="shared" si="35"/>
        <v>62.7</v>
      </c>
      <c r="H1005">
        <f t="shared" si="35"/>
        <v>0</v>
      </c>
    </row>
    <row r="1006" spans="1:9" x14ac:dyDescent="0.2">
      <c r="A1006" t="s">
        <v>17</v>
      </c>
      <c r="B1006">
        <f>B993/10</f>
        <v>5.0999999999999996</v>
      </c>
      <c r="C1006">
        <f t="shared" ref="C1006:H1006" si="36">C993/10</f>
        <v>5.4</v>
      </c>
      <c r="D1006">
        <f t="shared" si="36"/>
        <v>6</v>
      </c>
      <c r="E1006">
        <f t="shared" si="36"/>
        <v>7.8</v>
      </c>
      <c r="F1006">
        <f t="shared" si="36"/>
        <v>7.2</v>
      </c>
      <c r="G1006">
        <f t="shared" si="36"/>
        <v>5.7</v>
      </c>
      <c r="H1006">
        <f t="shared" si="36"/>
        <v>0</v>
      </c>
    </row>
    <row r="1007" spans="1:9" x14ac:dyDescent="0.2">
      <c r="A1007" t="s">
        <v>18</v>
      </c>
      <c r="B1007">
        <f t="shared" ref="B1007:H1007" si="37">B1005-B1006</f>
        <v>51</v>
      </c>
      <c r="C1007">
        <f t="shared" si="37"/>
        <v>54</v>
      </c>
      <c r="D1007">
        <f t="shared" si="37"/>
        <v>60</v>
      </c>
      <c r="E1007">
        <f t="shared" si="37"/>
        <v>78</v>
      </c>
      <c r="F1007">
        <f t="shared" si="37"/>
        <v>72</v>
      </c>
      <c r="G1007">
        <f t="shared" si="37"/>
        <v>57</v>
      </c>
      <c r="H1007">
        <f t="shared" si="37"/>
        <v>0</v>
      </c>
    </row>
    <row r="1009" spans="1:8" x14ac:dyDescent="0.2">
      <c r="F1009" s="1" t="s">
        <v>22</v>
      </c>
    </row>
    <row r="1011" spans="1:8" x14ac:dyDescent="0.2">
      <c r="F1011" t="s">
        <v>12</v>
      </c>
    </row>
    <row r="1012" spans="1:8" x14ac:dyDescent="0.2">
      <c r="F1012" t="s">
        <v>23</v>
      </c>
      <c r="G1012" s="2">
        <v>70</v>
      </c>
      <c r="H1012" t="s">
        <v>24</v>
      </c>
    </row>
    <row r="1013" spans="1:8" x14ac:dyDescent="0.2">
      <c r="F1013" t="s">
        <v>34</v>
      </c>
      <c r="G1013" s="2">
        <v>2.8860000000000001</v>
      </c>
    </row>
    <row r="1014" spans="1:8" x14ac:dyDescent="0.2">
      <c r="F1014" t="s">
        <v>35</v>
      </c>
      <c r="G1014" s="2">
        <v>2.8860000000000001</v>
      </c>
    </row>
    <row r="1016" spans="1:8" x14ac:dyDescent="0.2">
      <c r="B1016" s="4" t="s">
        <v>19</v>
      </c>
      <c r="C1016" s="4" t="s">
        <v>20</v>
      </c>
      <c r="D1016" s="4" t="s">
        <v>7</v>
      </c>
      <c r="E1016" s="4" t="s">
        <v>8</v>
      </c>
      <c r="F1016" s="4" t="s">
        <v>9</v>
      </c>
      <c r="G1016" s="4" t="s">
        <v>10</v>
      </c>
      <c r="H1016" s="4" t="s">
        <v>36</v>
      </c>
    </row>
    <row r="1017" spans="1:8" x14ac:dyDescent="0.2">
      <c r="A1017" t="s">
        <v>25</v>
      </c>
      <c r="B1017">
        <f t="shared" ref="B1017:H1017" si="38">B1007</f>
        <v>51</v>
      </c>
      <c r="C1017">
        <f t="shared" si="38"/>
        <v>54</v>
      </c>
      <c r="D1017">
        <f t="shared" si="38"/>
        <v>60</v>
      </c>
      <c r="E1017">
        <f t="shared" si="38"/>
        <v>78</v>
      </c>
      <c r="F1017">
        <f t="shared" si="38"/>
        <v>72</v>
      </c>
      <c r="G1017">
        <f t="shared" si="38"/>
        <v>57</v>
      </c>
      <c r="H1017">
        <f t="shared" si="38"/>
        <v>0</v>
      </c>
    </row>
    <row r="1018" spans="1:8" x14ac:dyDescent="0.2">
      <c r="A1018" t="s">
        <v>26</v>
      </c>
      <c r="B1018" t="str">
        <f>CONCATENATE(G1014)</f>
        <v>2.886</v>
      </c>
      <c r="C1018" t="str">
        <f>CONCATENATE(G1014)</f>
        <v>2.886</v>
      </c>
      <c r="D1018" t="str">
        <f>CONCATENATE(G1014)</f>
        <v>2.886</v>
      </c>
      <c r="E1018" t="str">
        <f>CONCATENATE(G1014)</f>
        <v>2.886</v>
      </c>
      <c r="F1018" t="str">
        <f>CONCATENATE(G1014)</f>
        <v>2.886</v>
      </c>
      <c r="G1018" t="str">
        <f>CONCATENATE(G1014)</f>
        <v>2.886</v>
      </c>
      <c r="H1018" t="str">
        <f>CONCATENATE(G1014)</f>
        <v>2.886</v>
      </c>
    </row>
    <row r="1019" spans="1:8" x14ac:dyDescent="0.2">
      <c r="A1019" t="s">
        <v>27</v>
      </c>
      <c r="B1019">
        <f t="shared" ref="B1019:H1019" si="39">B1017*B1018</f>
        <v>147.18600000000001</v>
      </c>
      <c r="C1019">
        <f t="shared" si="39"/>
        <v>155.84399999999999</v>
      </c>
      <c r="D1019">
        <f t="shared" si="39"/>
        <v>173.16</v>
      </c>
      <c r="E1019">
        <f t="shared" si="39"/>
        <v>225.108</v>
      </c>
      <c r="F1019">
        <f t="shared" si="39"/>
        <v>207.792</v>
      </c>
      <c r="G1019">
        <f t="shared" si="39"/>
        <v>164.50200000000001</v>
      </c>
      <c r="H1019">
        <f t="shared" si="39"/>
        <v>0</v>
      </c>
    </row>
    <row r="1020" spans="1:8" x14ac:dyDescent="0.2">
      <c r="A1020" t="s">
        <v>28</v>
      </c>
      <c r="B1020">
        <f>G1012/100*C1019</f>
        <v>109.09079999999999</v>
      </c>
      <c r="C1020">
        <f>G1012/100*D1019</f>
        <v>121.21199999999999</v>
      </c>
      <c r="D1020">
        <f>G1012/100*E1019</f>
        <v>157.57559999999998</v>
      </c>
      <c r="E1020">
        <f>G1012/100*F1019</f>
        <v>145.45439999999999</v>
      </c>
      <c r="F1020">
        <f>G1012/100*G1019</f>
        <v>115.1514</v>
      </c>
      <c r="G1020">
        <f>G1012/100*H1019</f>
        <v>0</v>
      </c>
    </row>
    <row r="1021" spans="1:8" x14ac:dyDescent="0.2">
      <c r="A1021" t="s">
        <v>29</v>
      </c>
      <c r="B1021">
        <f t="shared" ref="B1021:G1021" si="40">B1020+B1019</f>
        <v>256.27679999999998</v>
      </c>
      <c r="C1021">
        <f t="shared" si="40"/>
        <v>277.05599999999998</v>
      </c>
      <c r="D1021">
        <f t="shared" si="40"/>
        <v>330.73559999999998</v>
      </c>
      <c r="E1021">
        <f t="shared" si="40"/>
        <v>370.56240000000003</v>
      </c>
      <c r="F1021">
        <f t="shared" si="40"/>
        <v>322.9434</v>
      </c>
      <c r="G1021">
        <f t="shared" si="40"/>
        <v>164.50200000000001</v>
      </c>
    </row>
    <row r="1022" spans="1:8" x14ac:dyDescent="0.2">
      <c r="A1022" t="s">
        <v>30</v>
      </c>
      <c r="B1022">
        <f>CONCATENATE(G1012)/100*B1019</f>
        <v>103.03019999999999</v>
      </c>
      <c r="C1022">
        <f>B1020+B1019</f>
        <v>256.27679999999998</v>
      </c>
      <c r="D1022">
        <f>C1020+C1019</f>
        <v>277.05599999999998</v>
      </c>
      <c r="E1022">
        <f>D1020+D1019</f>
        <v>330.73559999999998</v>
      </c>
      <c r="F1022">
        <f>E1020+E1019</f>
        <v>370.56240000000003</v>
      </c>
      <c r="G1022">
        <f>F1020+F1019</f>
        <v>322.9434</v>
      </c>
    </row>
    <row r="1023" spans="1:8" x14ac:dyDescent="0.2">
      <c r="A1023" t="s">
        <v>31</v>
      </c>
      <c r="B1023">
        <f t="shared" ref="B1023:G1023" si="41">IF((B1021-B1022)&gt;0,(B1021-B1022),0)</f>
        <v>153.2466</v>
      </c>
      <c r="C1023">
        <f t="shared" si="41"/>
        <v>20.779200000000003</v>
      </c>
      <c r="D1023">
        <f t="shared" si="41"/>
        <v>53.679599999999994</v>
      </c>
      <c r="E1023">
        <f t="shared" si="41"/>
        <v>39.826800000000048</v>
      </c>
      <c r="F1023">
        <f t="shared" si="41"/>
        <v>0</v>
      </c>
      <c r="G1023">
        <f t="shared" si="41"/>
        <v>0</v>
      </c>
    </row>
    <row r="1024" spans="1:8" x14ac:dyDescent="0.2">
      <c r="A1024" t="s">
        <v>32</v>
      </c>
      <c r="B1024" t="str">
        <f>CONCATENATE(G1013)</f>
        <v>2.886</v>
      </c>
      <c r="C1024" t="str">
        <f>CONCATENATE(G1013)</f>
        <v>2.886</v>
      </c>
      <c r="D1024" t="str">
        <f>CONCATENATE(G1013)</f>
        <v>2.886</v>
      </c>
      <c r="E1024" t="str">
        <f>CONCATENATE(G1013)</f>
        <v>2.886</v>
      </c>
      <c r="F1024" t="str">
        <f>CONCATENATE(G1013)</f>
        <v>2.886</v>
      </c>
      <c r="G1024" t="str">
        <f>CONCATENATE(G1013)</f>
        <v>2.886</v>
      </c>
    </row>
    <row r="1025" spans="1:7" x14ac:dyDescent="0.2">
      <c r="A1025" t="s">
        <v>33</v>
      </c>
      <c r="B1025">
        <f t="shared" ref="B1025:G1025" si="42">B1023*B1024</f>
        <v>442.2696876</v>
      </c>
      <c r="C1025">
        <f t="shared" si="42"/>
        <v>59.968771200000013</v>
      </c>
      <c r="D1025">
        <f t="shared" si="42"/>
        <v>154.91932559999998</v>
      </c>
      <c r="E1025">
        <f t="shared" si="42"/>
        <v>114.94014480000014</v>
      </c>
      <c r="F1025">
        <f t="shared" si="42"/>
        <v>0</v>
      </c>
      <c r="G1025">
        <f t="shared" si="42"/>
        <v>0</v>
      </c>
    </row>
    <row r="1027" spans="1:7" x14ac:dyDescent="0.2">
      <c r="F1027" s="1" t="s">
        <v>37</v>
      </c>
    </row>
    <row r="1029" spans="1:7" x14ac:dyDescent="0.2">
      <c r="F1029" t="s">
        <v>12</v>
      </c>
    </row>
    <row r="1030" spans="1:7" x14ac:dyDescent="0.2">
      <c r="F1030" t="s">
        <v>38</v>
      </c>
      <c r="G1030" s="2">
        <v>2.8860000000000001</v>
      </c>
    </row>
    <row r="1031" spans="1:7" x14ac:dyDescent="0.2">
      <c r="F1031" t="s">
        <v>39</v>
      </c>
      <c r="G1031" s="2">
        <v>2.8860000000000001</v>
      </c>
    </row>
    <row r="1033" spans="1:7" x14ac:dyDescent="0.2">
      <c r="B1033" s="4" t="s">
        <v>5</v>
      </c>
      <c r="C1033" s="4" t="s">
        <v>20</v>
      </c>
      <c r="D1033" s="4" t="s">
        <v>7</v>
      </c>
      <c r="E1033" s="4" t="s">
        <v>8</v>
      </c>
      <c r="F1033" s="4" t="s">
        <v>9</v>
      </c>
      <c r="G1033" s="4" t="s">
        <v>10</v>
      </c>
    </row>
    <row r="1034" spans="1:7" x14ac:dyDescent="0.2">
      <c r="A1034" t="s">
        <v>18</v>
      </c>
      <c r="B1034">
        <f t="shared" ref="B1034:G1034" si="43">B1007</f>
        <v>51</v>
      </c>
      <c r="C1034">
        <f t="shared" si="43"/>
        <v>54</v>
      </c>
      <c r="D1034">
        <f t="shared" si="43"/>
        <v>60</v>
      </c>
      <c r="E1034">
        <f t="shared" si="43"/>
        <v>78</v>
      </c>
      <c r="F1034">
        <f t="shared" si="43"/>
        <v>72</v>
      </c>
      <c r="G1034">
        <f t="shared" si="43"/>
        <v>57</v>
      </c>
    </row>
    <row r="1035" spans="1:7" x14ac:dyDescent="0.2">
      <c r="A1035" t="s">
        <v>40</v>
      </c>
      <c r="B1035" t="str">
        <f>CONCATENATE(G1030)</f>
        <v>2.886</v>
      </c>
      <c r="C1035" t="str">
        <f>CONCATENATE(G1030)</f>
        <v>2.886</v>
      </c>
      <c r="D1035" t="str">
        <f>CONCATENATE(G1030)</f>
        <v>2.886</v>
      </c>
      <c r="E1035" t="str">
        <f>CONCATENATE(G1030)</f>
        <v>2.886</v>
      </c>
      <c r="F1035" t="str">
        <f>CONCATENATE(G1030)</f>
        <v>2.886</v>
      </c>
      <c r="G1035" t="str">
        <f>CONCATENATE(G1030)</f>
        <v>2.886</v>
      </c>
    </row>
    <row r="1036" spans="1:7" x14ac:dyDescent="0.2">
      <c r="A1036" t="s">
        <v>43</v>
      </c>
      <c r="B1036">
        <f t="shared" ref="B1036:G1036" si="44">B1034*B1035</f>
        <v>147.18600000000001</v>
      </c>
      <c r="C1036">
        <f t="shared" si="44"/>
        <v>155.84399999999999</v>
      </c>
      <c r="D1036">
        <f t="shared" si="44"/>
        <v>173.16</v>
      </c>
      <c r="E1036">
        <f t="shared" si="44"/>
        <v>225.108</v>
      </c>
      <c r="F1036">
        <f t="shared" si="44"/>
        <v>207.792</v>
      </c>
      <c r="G1036">
        <f t="shared" si="44"/>
        <v>164.50200000000001</v>
      </c>
    </row>
    <row r="1037" spans="1:7" x14ac:dyDescent="0.2">
      <c r="A1037" t="s">
        <v>42</v>
      </c>
      <c r="B1037" t="str">
        <f>CONCATENATE(G1031)</f>
        <v>2.886</v>
      </c>
      <c r="C1037" t="str">
        <f>CONCATENATE(G1031)</f>
        <v>2.886</v>
      </c>
      <c r="D1037" t="str">
        <f>CONCATENATE(G1031)</f>
        <v>2.886</v>
      </c>
      <c r="E1037" t="str">
        <f>CONCATENATE(G1031)</f>
        <v>2.886</v>
      </c>
      <c r="F1037" t="str">
        <f>CONCATENATE(G1031)</f>
        <v>2.886</v>
      </c>
      <c r="G1037" t="str">
        <f>CONCATENATE(G1031)</f>
        <v>2.886</v>
      </c>
    </row>
    <row r="1038" spans="1:7" x14ac:dyDescent="0.2">
      <c r="A1038" t="s">
        <v>41</v>
      </c>
      <c r="B1038">
        <f t="shared" ref="B1038:G1038" si="45">B1036*B1037</f>
        <v>424.77879600000006</v>
      </c>
      <c r="C1038">
        <f t="shared" si="45"/>
        <v>449.765784</v>
      </c>
      <c r="D1038">
        <f t="shared" si="45"/>
        <v>499.73975999999999</v>
      </c>
      <c r="E1038">
        <f t="shared" si="45"/>
        <v>649.66168800000003</v>
      </c>
      <c r="F1038">
        <f t="shared" si="45"/>
        <v>599.68771200000003</v>
      </c>
      <c r="G1038">
        <f t="shared" si="45"/>
        <v>474.75277200000005</v>
      </c>
    </row>
    <row r="1040" spans="1:7" x14ac:dyDescent="0.2">
      <c r="F1040" s="1" t="s">
        <v>44</v>
      </c>
    </row>
    <row r="1042" spans="6:7" x14ac:dyDescent="0.2">
      <c r="F1042" t="s">
        <v>12</v>
      </c>
    </row>
    <row r="1043" spans="6:7" x14ac:dyDescent="0.2">
      <c r="F1043" t="s">
        <v>45</v>
      </c>
    </row>
    <row r="1045" spans="6:7" x14ac:dyDescent="0.2">
      <c r="F1045" t="s">
        <v>46</v>
      </c>
    </row>
    <row r="1046" spans="6:7" x14ac:dyDescent="0.2">
      <c r="F1046" t="s">
        <v>53</v>
      </c>
      <c r="G1046" s="2">
        <v>0.75</v>
      </c>
    </row>
    <row r="1047" spans="6:7" x14ac:dyDescent="0.2">
      <c r="F1047" t="s">
        <v>54</v>
      </c>
      <c r="G1047" s="2">
        <v>0.61923399999999995</v>
      </c>
    </row>
    <row r="1048" spans="6:7" x14ac:dyDescent="0.2">
      <c r="F1048" t="s">
        <v>55</v>
      </c>
      <c r="G1048" s="2">
        <v>0.75</v>
      </c>
    </row>
    <row r="1049" spans="6:7" x14ac:dyDescent="0.2">
      <c r="F1049" t="s">
        <v>56</v>
      </c>
      <c r="G1049" s="2">
        <v>0.75</v>
      </c>
    </row>
    <row r="1050" spans="6:7" x14ac:dyDescent="0.2">
      <c r="G1050" s="2">
        <v>0.75</v>
      </c>
    </row>
    <row r="1051" spans="6:7" x14ac:dyDescent="0.2">
      <c r="F1051" t="s">
        <v>49</v>
      </c>
    </row>
    <row r="1052" spans="6:7" x14ac:dyDescent="0.2">
      <c r="F1052" t="s">
        <v>57</v>
      </c>
      <c r="G1052" s="2">
        <v>0.75</v>
      </c>
    </row>
    <row r="1053" spans="6:7" x14ac:dyDescent="0.2">
      <c r="F1053" t="s">
        <v>58</v>
      </c>
      <c r="G1053" s="2">
        <v>0.75</v>
      </c>
    </row>
    <row r="1054" spans="6:7" x14ac:dyDescent="0.2">
      <c r="F1054" t="s">
        <v>59</v>
      </c>
      <c r="G1054" s="2">
        <v>0.75</v>
      </c>
    </row>
    <row r="1055" spans="6:7" x14ac:dyDescent="0.2">
      <c r="F1055" t="s">
        <v>60</v>
      </c>
      <c r="G1055" s="2">
        <v>0.75</v>
      </c>
    </row>
    <row r="1057" spans="1:8" x14ac:dyDescent="0.2">
      <c r="B1057" s="4" t="s">
        <v>19</v>
      </c>
      <c r="C1057" s="4" t="s">
        <v>20</v>
      </c>
      <c r="D1057" s="4" t="s">
        <v>7</v>
      </c>
      <c r="E1057" s="4" t="s">
        <v>8</v>
      </c>
      <c r="F1057" s="4" t="s">
        <v>9</v>
      </c>
      <c r="G1057" s="4" t="s">
        <v>10</v>
      </c>
      <c r="H1057" s="4" t="s">
        <v>111</v>
      </c>
    </row>
    <row r="1058" spans="1:8" x14ac:dyDescent="0.2">
      <c r="A1058" t="s">
        <v>61</v>
      </c>
      <c r="B1058">
        <f t="shared" ref="B1058:G1058" si="46">B1034*B1035</f>
        <v>147.18600000000001</v>
      </c>
      <c r="C1058">
        <f t="shared" si="46"/>
        <v>155.84399999999999</v>
      </c>
      <c r="D1058">
        <f t="shared" si="46"/>
        <v>173.16</v>
      </c>
      <c r="E1058">
        <f t="shared" si="46"/>
        <v>225.108</v>
      </c>
      <c r="F1058">
        <f t="shared" si="46"/>
        <v>207.792</v>
      </c>
      <c r="G1058">
        <f t="shared" si="46"/>
        <v>164.50200000000001</v>
      </c>
      <c r="H1058">
        <f t="shared" ref="H1058:H1063" si="47">G1058+F1058+E1058+D1058+C1058+B1058</f>
        <v>1073.5919999999999</v>
      </c>
    </row>
    <row r="1059" spans="1:8" x14ac:dyDescent="0.2">
      <c r="A1059" t="s">
        <v>62</v>
      </c>
      <c r="B1059">
        <f>CONCATENATE(G1046)*B1058</f>
        <v>110.3895</v>
      </c>
      <c r="C1059">
        <f>CONCATENATE(G1046)*C1058</f>
        <v>116.883</v>
      </c>
      <c r="D1059">
        <f>CONCATENATE(G1046)*D1058</f>
        <v>129.87</v>
      </c>
      <c r="E1059">
        <f>CONCATENATE(G1046)*E1058</f>
        <v>168.83100000000002</v>
      </c>
      <c r="F1059">
        <f>CONCATENATE(G1046)*F1058</f>
        <v>155.84399999999999</v>
      </c>
      <c r="G1059">
        <f>CONCATENATE(G1046)*G1058</f>
        <v>123.37650000000001</v>
      </c>
      <c r="H1059">
        <f t="shared" si="47"/>
        <v>805.19400000000007</v>
      </c>
    </row>
    <row r="1060" spans="1:8" x14ac:dyDescent="0.2">
      <c r="A1060" t="s">
        <v>47</v>
      </c>
      <c r="B1060">
        <f>CONCATENATE(G1047)*B1058</f>
        <v>91.142575523999994</v>
      </c>
      <c r="C1060">
        <f>CONCATENATE(G1047)*C1058</f>
        <v>96.503903495999992</v>
      </c>
      <c r="D1060">
        <f>CONCATENATE(G1047)*D1058</f>
        <v>107.22655943999999</v>
      </c>
      <c r="E1060">
        <f>CONCATENATE(G1047)*E1058</f>
        <v>139.394527272</v>
      </c>
      <c r="F1060">
        <f>CONCATENATE(G1047)*F1058</f>
        <v>128.67187132799998</v>
      </c>
      <c r="G1060">
        <f>CONCATENATE(G1047)*G1058</f>
        <v>101.865231468</v>
      </c>
      <c r="H1060">
        <f t="shared" si="47"/>
        <v>664.80466852799998</v>
      </c>
    </row>
    <row r="1061" spans="1:8" x14ac:dyDescent="0.2">
      <c r="A1061" t="s">
        <v>48</v>
      </c>
      <c r="B1061">
        <f>CONCATENATE(G1048)*B1058</f>
        <v>110.3895</v>
      </c>
      <c r="C1061">
        <f>CONCATENATE(G1048)*C1058</f>
        <v>116.883</v>
      </c>
      <c r="D1061">
        <f>CONCATENATE(G1048)*D1058</f>
        <v>129.87</v>
      </c>
      <c r="E1061">
        <f>CONCATENATE(G1048)*E1058</f>
        <v>168.83100000000002</v>
      </c>
      <c r="F1061">
        <f>CONCATENATE(G1048)*F1058</f>
        <v>155.84399999999999</v>
      </c>
      <c r="G1061">
        <f>CONCATENATE(G1048)*G1058</f>
        <v>123.37650000000001</v>
      </c>
      <c r="H1061">
        <f t="shared" si="47"/>
        <v>805.19400000000007</v>
      </c>
    </row>
    <row r="1062" spans="1:8" x14ac:dyDescent="0.2">
      <c r="A1062" t="s">
        <v>52</v>
      </c>
      <c r="B1062">
        <f>CONCATENATE(G1049)*B1058</f>
        <v>110.3895</v>
      </c>
      <c r="C1062">
        <f>CONCATENATE(G1049)*C1058</f>
        <v>116.883</v>
      </c>
      <c r="D1062">
        <f>CONCATENATE(G1049)*D1058</f>
        <v>129.87</v>
      </c>
      <c r="E1062">
        <f>CONCATENATE(G1049)*E1058</f>
        <v>168.83100000000002</v>
      </c>
      <c r="F1062">
        <f>CONCATENATE(G1049)*F1058</f>
        <v>155.84399999999999</v>
      </c>
      <c r="G1062">
        <f>CONCATENATE(G1049)*G1058</f>
        <v>123.37650000000001</v>
      </c>
      <c r="H1062">
        <f t="shared" si="47"/>
        <v>805.19400000000007</v>
      </c>
    </row>
    <row r="1063" spans="1:8" x14ac:dyDescent="0.2">
      <c r="A1063" t="s">
        <v>63</v>
      </c>
      <c r="B1063">
        <f t="shared" ref="B1063:G1063" si="48">B1059+B1060+B1061+B1062</f>
        <v>422.31107552399999</v>
      </c>
      <c r="C1063">
        <f t="shared" si="48"/>
        <v>447.15290349599996</v>
      </c>
      <c r="D1063">
        <f t="shared" si="48"/>
        <v>496.83655943999997</v>
      </c>
      <c r="E1063">
        <f t="shared" si="48"/>
        <v>645.88752727200006</v>
      </c>
      <c r="F1063">
        <f t="shared" si="48"/>
        <v>596.20387132799999</v>
      </c>
      <c r="G1063">
        <f t="shared" si="48"/>
        <v>471.99473146800005</v>
      </c>
      <c r="H1063">
        <f t="shared" si="47"/>
        <v>3080.386668528</v>
      </c>
    </row>
    <row r="1065" spans="1:8" x14ac:dyDescent="0.2">
      <c r="A1065" t="s">
        <v>64</v>
      </c>
    </row>
    <row r="1066" spans="1:8" x14ac:dyDescent="0.2">
      <c r="A1066" t="s">
        <v>50</v>
      </c>
      <c r="B1066" t="str">
        <f>CONCATENATE(G1052)</f>
        <v>0.75</v>
      </c>
      <c r="C1066" t="str">
        <f>CONCATENATE(G1052)</f>
        <v>0.75</v>
      </c>
      <c r="D1066" t="str">
        <f>CONCATENATE(G1052)</f>
        <v>0.75</v>
      </c>
      <c r="E1066" t="str">
        <f>CONCATENATE(G1052)</f>
        <v>0.75</v>
      </c>
      <c r="F1066" t="str">
        <f>CONCATENATE(G1052)</f>
        <v>0.75</v>
      </c>
      <c r="G1066" t="str">
        <f>CONCATENATE(G1052)</f>
        <v>0.75</v>
      </c>
      <c r="H1066">
        <f>G1066+F1066+E1066+D1066+C1066+B1066</f>
        <v>4.5</v>
      </c>
    </row>
    <row r="1067" spans="1:8" x14ac:dyDescent="0.2">
      <c r="A1067" t="s">
        <v>65</v>
      </c>
      <c r="B1067" t="str">
        <f>CONCATENATE(G1053)</f>
        <v>0.75</v>
      </c>
      <c r="C1067" t="str">
        <f>CONCATENATE(G1053)</f>
        <v>0.75</v>
      </c>
      <c r="D1067" t="str">
        <f>CONCATENATE(G1053)</f>
        <v>0.75</v>
      </c>
      <c r="E1067" t="str">
        <f>CONCATENATE(G1053)</f>
        <v>0.75</v>
      </c>
      <c r="F1067" t="str">
        <f>CONCATENATE(G1053)</f>
        <v>0.75</v>
      </c>
      <c r="G1067" t="str">
        <f>CONCATENATE(G1053)</f>
        <v>0.75</v>
      </c>
      <c r="H1067">
        <f>G1067+F1067+E1067+D1067+C1067+B1067</f>
        <v>4.5</v>
      </c>
    </row>
    <row r="1068" spans="1:8" x14ac:dyDescent="0.2">
      <c r="A1068" t="s">
        <v>66</v>
      </c>
      <c r="B1068" t="str">
        <f>CONCATENATE(G1054)</f>
        <v>0.75</v>
      </c>
      <c r="C1068" t="str">
        <f>CONCATENATE(G1054)</f>
        <v>0.75</v>
      </c>
      <c r="D1068" t="str">
        <f>CONCATENATE(G1054)</f>
        <v>0.75</v>
      </c>
      <c r="E1068" t="str">
        <f>CONCATENATE(G1054)</f>
        <v>0.75</v>
      </c>
      <c r="F1068" t="str">
        <f>CONCATENATE(G1054)</f>
        <v>0.75</v>
      </c>
      <c r="G1068" t="str">
        <f>CONCATENATE(G1054)</f>
        <v>0.75</v>
      </c>
      <c r="H1068">
        <f>G1068+F1068+E1068+D1068+C1068+B1068</f>
        <v>4.5</v>
      </c>
    </row>
    <row r="1069" spans="1:8" x14ac:dyDescent="0.2">
      <c r="A1069" t="s">
        <v>67</v>
      </c>
      <c r="B1069" t="str">
        <f>CONCATENATE(G1055)</f>
        <v>0.75</v>
      </c>
      <c r="C1069" t="str">
        <f>CONCATENATE(G1055)</f>
        <v>0.75</v>
      </c>
      <c r="D1069" t="str">
        <f>CONCATENATE(G1055)</f>
        <v>0.75</v>
      </c>
      <c r="E1069" t="str">
        <f>CONCATENATE(G1055)</f>
        <v>0.75</v>
      </c>
      <c r="F1069" t="str">
        <f>CONCATENATE(G1055)</f>
        <v>0.75</v>
      </c>
      <c r="G1069" t="str">
        <f>CONCATENATE(G1055)</f>
        <v>0.75</v>
      </c>
      <c r="H1069">
        <f>G1069+F1069+E1069+D1069+C1069+B1069</f>
        <v>4.5</v>
      </c>
    </row>
    <row r="1070" spans="1:8" x14ac:dyDescent="0.2">
      <c r="A1070" t="s">
        <v>68</v>
      </c>
      <c r="B1070">
        <f t="shared" ref="B1070:G1070" si="49">B1066+B1067+B1068+B1069</f>
        <v>3</v>
      </c>
      <c r="C1070">
        <f t="shared" si="49"/>
        <v>3</v>
      </c>
      <c r="D1070">
        <f t="shared" si="49"/>
        <v>3</v>
      </c>
      <c r="E1070">
        <f t="shared" si="49"/>
        <v>3</v>
      </c>
      <c r="F1070">
        <f t="shared" si="49"/>
        <v>3</v>
      </c>
      <c r="G1070">
        <f t="shared" si="49"/>
        <v>3</v>
      </c>
      <c r="H1070">
        <f>G1070+F1070+E1070+D1070+C1070+B1070</f>
        <v>18</v>
      </c>
    </row>
    <row r="1071" spans="1:8" x14ac:dyDescent="0.2">
      <c r="A1071" t="s">
        <v>69</v>
      </c>
      <c r="B1071">
        <f t="shared" ref="B1071:G1071" si="50">B1063+B1070</f>
        <v>425.31107552399999</v>
      </c>
      <c r="C1071">
        <f t="shared" si="50"/>
        <v>450.15290349599996</v>
      </c>
      <c r="D1071">
        <f t="shared" si="50"/>
        <v>499.83655943999997</v>
      </c>
      <c r="E1071">
        <f t="shared" si="50"/>
        <v>648.88752727200006</v>
      </c>
      <c r="F1071">
        <f t="shared" si="50"/>
        <v>599.20387132799999</v>
      </c>
      <c r="G1071">
        <f t="shared" si="50"/>
        <v>474.99473146800005</v>
      </c>
      <c r="H1071">
        <f>H1070+H1063</f>
        <v>3098.386668528</v>
      </c>
    </row>
    <row r="1073" spans="2:9" x14ac:dyDescent="0.2">
      <c r="H1073" t="s">
        <v>112</v>
      </c>
      <c r="I1073">
        <f>H1071/H1058</f>
        <v>2.8860001457984041</v>
      </c>
    </row>
    <row r="1074" spans="2:9" x14ac:dyDescent="0.2">
      <c r="F1074" s="1" t="s">
        <v>70</v>
      </c>
    </row>
    <row r="1076" spans="2:9" x14ac:dyDescent="0.2">
      <c r="F1076" t="s">
        <v>12</v>
      </c>
    </row>
    <row r="1077" spans="2:9" x14ac:dyDescent="0.2">
      <c r="F1077" t="s">
        <v>71</v>
      </c>
    </row>
    <row r="1078" spans="2:9" x14ac:dyDescent="0.2">
      <c r="F1078" t="s">
        <v>72</v>
      </c>
      <c r="G1078" s="2">
        <v>2.34</v>
      </c>
    </row>
    <row r="1079" spans="2:9" x14ac:dyDescent="0.2">
      <c r="F1079" t="s">
        <v>73</v>
      </c>
      <c r="G1079" s="2">
        <v>2.34</v>
      </c>
    </row>
    <row r="1081" spans="2:9" x14ac:dyDescent="0.2">
      <c r="F1081" t="s">
        <v>74</v>
      </c>
    </row>
    <row r="1082" spans="2:9" x14ac:dyDescent="0.2">
      <c r="F1082" t="s">
        <v>86</v>
      </c>
      <c r="G1082" s="2">
        <v>2.34</v>
      </c>
    </row>
    <row r="1083" spans="2:9" x14ac:dyDescent="0.2">
      <c r="F1083" t="s">
        <v>87</v>
      </c>
      <c r="G1083" s="2">
        <v>2.34</v>
      </c>
    </row>
    <row r="1084" spans="2:9" x14ac:dyDescent="0.2">
      <c r="F1084" t="s">
        <v>88</v>
      </c>
      <c r="G1084" s="2">
        <v>2.34</v>
      </c>
    </row>
    <row r="1085" spans="2:9" x14ac:dyDescent="0.2">
      <c r="F1085" t="s">
        <v>89</v>
      </c>
      <c r="G1085" s="2">
        <v>2.34</v>
      </c>
    </row>
    <row r="1086" spans="2:9" x14ac:dyDescent="0.2">
      <c r="F1086" t="s">
        <v>90</v>
      </c>
      <c r="G1086" s="2">
        <v>2.34</v>
      </c>
    </row>
    <row r="1088" spans="2:9" x14ac:dyDescent="0.2">
      <c r="B1088" s="4" t="s">
        <v>19</v>
      </c>
      <c r="C1088" s="4" t="s">
        <v>20</v>
      </c>
      <c r="D1088" s="4" t="s">
        <v>7</v>
      </c>
      <c r="E1088" s="4" t="s">
        <v>8</v>
      </c>
      <c r="F1088" s="4" t="s">
        <v>9</v>
      </c>
      <c r="G1088" s="4" t="s">
        <v>10</v>
      </c>
    </row>
    <row r="1089" spans="1:7" x14ac:dyDescent="0.2">
      <c r="A1089" t="s">
        <v>75</v>
      </c>
      <c r="B1089">
        <f t="shared" ref="B1089:G1089" si="51">B993</f>
        <v>51</v>
      </c>
      <c r="C1089">
        <f t="shared" si="51"/>
        <v>54</v>
      </c>
      <c r="D1089">
        <f t="shared" si="51"/>
        <v>60</v>
      </c>
      <c r="E1089">
        <f t="shared" si="51"/>
        <v>78</v>
      </c>
      <c r="F1089">
        <f t="shared" si="51"/>
        <v>72</v>
      </c>
      <c r="G1089">
        <f t="shared" si="51"/>
        <v>57</v>
      </c>
    </row>
    <row r="1090" spans="1:7" x14ac:dyDescent="0.2">
      <c r="A1090" t="s">
        <v>76</v>
      </c>
      <c r="B1090">
        <f>CONCATENATE(G1078)*B1089</f>
        <v>119.33999999999999</v>
      </c>
      <c r="C1090">
        <f>CONCATENATE(G1078)*C1089</f>
        <v>126.35999999999999</v>
      </c>
      <c r="D1090">
        <f>CONCATENATE(G1078)*D1089</f>
        <v>140.39999999999998</v>
      </c>
      <c r="E1090">
        <f>CONCATENATE(G1078)*E1089</f>
        <v>182.51999999999998</v>
      </c>
      <c r="F1090">
        <f>CONCATENATE(G1078)*F1089</f>
        <v>168.48</v>
      </c>
      <c r="G1090">
        <f>CONCATENATE(G1078)*G1089</f>
        <v>133.38</v>
      </c>
    </row>
    <row r="1091" spans="1:7" x14ac:dyDescent="0.2">
      <c r="A1091" t="s">
        <v>77</v>
      </c>
      <c r="B1091">
        <f>CONCATENATE(G1079)*B1089</f>
        <v>119.33999999999999</v>
      </c>
      <c r="C1091">
        <f>CONCATENATE(G1079)*C1089</f>
        <v>126.35999999999999</v>
      </c>
      <c r="D1091">
        <f>CONCATENATE(G1079)*D1089</f>
        <v>140.39999999999998</v>
      </c>
      <c r="E1091">
        <f>CONCATENATE(G1079)*E1089</f>
        <v>182.51999999999998</v>
      </c>
      <c r="F1091">
        <f>CONCATENATE(G1079)*F1089</f>
        <v>168.48</v>
      </c>
      <c r="G1091">
        <f>CONCATENATE(G1079)*G1089</f>
        <v>133.38</v>
      </c>
    </row>
    <row r="1092" spans="1:7" x14ac:dyDescent="0.2">
      <c r="A1092" t="s">
        <v>78</v>
      </c>
      <c r="B1092">
        <f t="shared" ref="B1092:G1092" si="52">B1091+B1090</f>
        <v>238.67999999999998</v>
      </c>
      <c r="C1092">
        <f t="shared" si="52"/>
        <v>252.71999999999997</v>
      </c>
      <c r="D1092">
        <f t="shared" si="52"/>
        <v>280.79999999999995</v>
      </c>
      <c r="E1092">
        <f t="shared" si="52"/>
        <v>365.03999999999996</v>
      </c>
      <c r="F1092">
        <f t="shared" si="52"/>
        <v>336.96</v>
      </c>
      <c r="G1092">
        <f t="shared" si="52"/>
        <v>266.76</v>
      </c>
    </row>
    <row r="1093" spans="1:7" x14ac:dyDescent="0.2">
      <c r="A1093" t="s">
        <v>79</v>
      </c>
    </row>
    <row r="1094" spans="1:7" x14ac:dyDescent="0.2">
      <c r="A1094" t="s">
        <v>80</v>
      </c>
      <c r="B1094" t="str">
        <f>CONCATENATE(G1082)</f>
        <v>2.34</v>
      </c>
      <c r="C1094" t="str">
        <f>CONCATENATE(G1082)</f>
        <v>2.34</v>
      </c>
      <c r="D1094" t="str">
        <f>CONCATENATE(G1082)</f>
        <v>2.34</v>
      </c>
      <c r="E1094" t="str">
        <f>CONCATENATE(G1082)</f>
        <v>2.34</v>
      </c>
      <c r="F1094" t="str">
        <f>CONCATENATE(G1082)</f>
        <v>2.34</v>
      </c>
      <c r="G1094" t="str">
        <f>CONCATENATE(G1082)</f>
        <v>2.34</v>
      </c>
    </row>
    <row r="1095" spans="1:7" x14ac:dyDescent="0.2">
      <c r="A1095" t="s">
        <v>81</v>
      </c>
      <c r="B1095" t="str">
        <f>CONCATENATE(G1083)</f>
        <v>2.34</v>
      </c>
      <c r="C1095" t="str">
        <f>CONCATENATE(G1083)</f>
        <v>2.34</v>
      </c>
      <c r="D1095" t="str">
        <f>CONCATENATE(G1083)</f>
        <v>2.34</v>
      </c>
      <c r="E1095" t="str">
        <f>CONCATENATE(G1083)</f>
        <v>2.34</v>
      </c>
      <c r="F1095" t="str">
        <f>CONCATENATE(G1083)</f>
        <v>2.34</v>
      </c>
      <c r="G1095" t="str">
        <f>CONCATENATE(G1083)</f>
        <v>2.34</v>
      </c>
    </row>
    <row r="1096" spans="1:7" x14ac:dyDescent="0.2">
      <c r="A1096" t="s">
        <v>82</v>
      </c>
      <c r="B1096" t="str">
        <f>CONCATENATE(G1084)</f>
        <v>2.34</v>
      </c>
      <c r="C1096" t="str">
        <f>CONCATENATE(G1084)</f>
        <v>2.34</v>
      </c>
      <c r="D1096" t="str">
        <f>CONCATENATE(G1084)</f>
        <v>2.34</v>
      </c>
      <c r="E1096" t="str">
        <f>CONCATENATE(G1084)</f>
        <v>2.34</v>
      </c>
      <c r="F1096" t="str">
        <f>CONCATENATE(G1084)</f>
        <v>2.34</v>
      </c>
      <c r="G1096" t="str">
        <f>CONCATENATE(G1084)</f>
        <v>2.34</v>
      </c>
    </row>
    <row r="1097" spans="1:7" x14ac:dyDescent="0.2">
      <c r="A1097" t="s">
        <v>83</v>
      </c>
      <c r="B1097" t="str">
        <f>CONCATENATE(G1085)</f>
        <v>2.34</v>
      </c>
      <c r="C1097" t="str">
        <f>CONCATENATE(G1085)</f>
        <v>2.34</v>
      </c>
      <c r="D1097" t="str">
        <f>CONCATENATE(G1085)</f>
        <v>2.34</v>
      </c>
      <c r="E1097" t="str">
        <f>CONCATENATE(G1085)</f>
        <v>2.34</v>
      </c>
      <c r="F1097" t="str">
        <f>CONCATENATE(G1085)</f>
        <v>2.34</v>
      </c>
      <c r="G1097" t="str">
        <f>CONCATENATE(G1085)</f>
        <v>2.34</v>
      </c>
    </row>
    <row r="1098" spans="1:7" x14ac:dyDescent="0.2">
      <c r="A1098" t="s">
        <v>51</v>
      </c>
      <c r="B1098" t="str">
        <f>CONCATENATE(G1086)</f>
        <v>2.34</v>
      </c>
      <c r="C1098" t="str">
        <f>CONCATENATE(G1086)</f>
        <v>2.34</v>
      </c>
      <c r="D1098" t="str">
        <f>CONCATENATE(G1086)</f>
        <v>2.34</v>
      </c>
      <c r="E1098" t="str">
        <f>CONCATENATE(G1086)</f>
        <v>2.34</v>
      </c>
      <c r="F1098" t="str">
        <f>CONCATENATE(G1086)</f>
        <v>2.34</v>
      </c>
      <c r="G1098" t="str">
        <f>CONCATENATE(G1086)</f>
        <v>2.34</v>
      </c>
    </row>
    <row r="1099" spans="1:7" x14ac:dyDescent="0.2">
      <c r="A1099" t="s">
        <v>84</v>
      </c>
      <c r="B1099">
        <f t="shared" ref="B1099:G1099" si="53">B1094+B1095+B1096+B1097+B1098</f>
        <v>11.7</v>
      </c>
      <c r="C1099">
        <f t="shared" si="53"/>
        <v>11.7</v>
      </c>
      <c r="D1099">
        <f t="shared" si="53"/>
        <v>11.7</v>
      </c>
      <c r="E1099">
        <f t="shared" si="53"/>
        <v>11.7</v>
      </c>
      <c r="F1099">
        <f t="shared" si="53"/>
        <v>11.7</v>
      </c>
      <c r="G1099">
        <f t="shared" si="53"/>
        <v>11.7</v>
      </c>
    </row>
    <row r="1100" spans="1:7" x14ac:dyDescent="0.2">
      <c r="A1100" t="s">
        <v>85</v>
      </c>
      <c r="B1100">
        <f t="shared" ref="B1100:G1100" si="54">B1099+B1092</f>
        <v>250.37999999999997</v>
      </c>
      <c r="C1100">
        <f t="shared" si="54"/>
        <v>264.41999999999996</v>
      </c>
      <c r="D1100">
        <f t="shared" si="54"/>
        <v>292.49999999999994</v>
      </c>
      <c r="E1100">
        <f t="shared" si="54"/>
        <v>376.73999999999995</v>
      </c>
      <c r="F1100">
        <f t="shared" si="54"/>
        <v>348.65999999999997</v>
      </c>
      <c r="G1100">
        <f t="shared" si="54"/>
        <v>278.45999999999998</v>
      </c>
    </row>
    <row r="1102" spans="1:7" x14ac:dyDescent="0.2">
      <c r="F1102" s="1" t="s">
        <v>105</v>
      </c>
    </row>
    <row r="1103" spans="1:7" x14ac:dyDescent="0.2">
      <c r="E1103" t="s">
        <v>106</v>
      </c>
      <c r="F1103">
        <f>CONCATENATE(G1013)*CONCATENATE(G1014)</f>
        <v>8.3289960000000001</v>
      </c>
    </row>
    <row r="1104" spans="1:7" x14ac:dyDescent="0.2">
      <c r="E1104" t="s">
        <v>107</v>
      </c>
      <c r="F1104">
        <f>CONCATENATE(G1031)*CONCATENATE(G1030)</f>
        <v>8.3289960000000001</v>
      </c>
    </row>
    <row r="1105" spans="1:7" x14ac:dyDescent="0.2">
      <c r="E1105" t="s">
        <v>108</v>
      </c>
      <c r="F1105">
        <f>CONCATENATE(G1030)*I1073</f>
        <v>8.3289964207741942</v>
      </c>
    </row>
    <row r="1106" spans="1:7" x14ac:dyDescent="0.2">
      <c r="E1106" t="s">
        <v>109</v>
      </c>
      <c r="F1106">
        <f>F1105+F1104+F1103</f>
        <v>24.986988420774193</v>
      </c>
    </row>
    <row r="1107" spans="1:7" x14ac:dyDescent="0.2">
      <c r="E1107" t="s">
        <v>110</v>
      </c>
      <c r="F1107">
        <f>I993</f>
        <v>372</v>
      </c>
    </row>
    <row r="1108" spans="1:7" x14ac:dyDescent="0.2">
      <c r="E1108" t="s">
        <v>105</v>
      </c>
      <c r="F1108">
        <f>F1106*F1107</f>
        <v>9295.1596925279991</v>
      </c>
    </row>
    <row r="1111" spans="1:7" x14ac:dyDescent="0.2">
      <c r="F1111" s="1" t="s">
        <v>91</v>
      </c>
    </row>
    <row r="1113" spans="1:7" x14ac:dyDescent="0.2">
      <c r="F1113" t="s">
        <v>12</v>
      </c>
    </row>
    <row r="1114" spans="1:7" x14ac:dyDescent="0.2">
      <c r="F1114" t="s">
        <v>92</v>
      </c>
      <c r="G1114" s="2">
        <v>90</v>
      </c>
    </row>
    <row r="1115" spans="1:7" x14ac:dyDescent="0.2">
      <c r="F1115" t="s">
        <v>93</v>
      </c>
    </row>
    <row r="1117" spans="1:7" x14ac:dyDescent="0.2">
      <c r="B1117" s="4" t="s">
        <v>19</v>
      </c>
      <c r="C1117" s="4" t="s">
        <v>20</v>
      </c>
      <c r="D1117" s="4" t="s">
        <v>7</v>
      </c>
      <c r="E1117" s="4" t="s">
        <v>8</v>
      </c>
      <c r="F1117" s="4" t="s">
        <v>9</v>
      </c>
      <c r="G1117" s="4" t="s">
        <v>10</v>
      </c>
    </row>
    <row r="1118" spans="1:7" x14ac:dyDescent="0.2">
      <c r="A1118" t="s">
        <v>94</v>
      </c>
      <c r="B1118">
        <f t="shared" ref="B1118:G1118" si="55">B993</f>
        <v>51</v>
      </c>
      <c r="C1118">
        <f t="shared" si="55"/>
        <v>54</v>
      </c>
      <c r="D1118">
        <f t="shared" si="55"/>
        <v>60</v>
      </c>
      <c r="E1118">
        <f t="shared" si="55"/>
        <v>78</v>
      </c>
      <c r="F1118">
        <f t="shared" si="55"/>
        <v>72</v>
      </c>
      <c r="G1118">
        <f t="shared" si="55"/>
        <v>57</v>
      </c>
    </row>
    <row r="1119" spans="1:7" x14ac:dyDescent="0.2">
      <c r="A1119" t="s">
        <v>4</v>
      </c>
      <c r="B1119">
        <f t="shared" ref="B1119:G1119" si="56">B995</f>
        <v>1700</v>
      </c>
      <c r="C1119">
        <f t="shared" si="56"/>
        <v>1800</v>
      </c>
      <c r="D1119">
        <f t="shared" si="56"/>
        <v>2000</v>
      </c>
      <c r="E1119">
        <f t="shared" si="56"/>
        <v>2600</v>
      </c>
      <c r="F1119">
        <f t="shared" si="56"/>
        <v>2400</v>
      </c>
      <c r="G1119">
        <f t="shared" si="56"/>
        <v>1900</v>
      </c>
    </row>
    <row r="1120" spans="1:7" x14ac:dyDescent="0.2">
      <c r="A1120" t="s">
        <v>95</v>
      </c>
      <c r="B1120">
        <f>F1106*B1118</f>
        <v>1274.3364094594838</v>
      </c>
      <c r="C1120">
        <f>F1106*C1118</f>
        <v>1349.2973747218064</v>
      </c>
      <c r="D1120">
        <f>F1106*D1118</f>
        <v>1499.2193052464515</v>
      </c>
      <c r="E1120">
        <f>F1106*E1118</f>
        <v>1948.9850968203871</v>
      </c>
      <c r="F1120">
        <f>F1106*F1118</f>
        <v>1799.0631662957419</v>
      </c>
      <c r="G1120">
        <f>F1106*G1118</f>
        <v>1424.258339984129</v>
      </c>
    </row>
    <row r="1121" spans="1:7" x14ac:dyDescent="0.2">
      <c r="A1121" t="s">
        <v>96</v>
      </c>
      <c r="B1121">
        <f t="shared" ref="B1121:G1121" si="57">B1119-B1120</f>
        <v>425.66359054051622</v>
      </c>
      <c r="C1121">
        <f t="shared" si="57"/>
        <v>450.70262527819364</v>
      </c>
      <c r="D1121">
        <f t="shared" si="57"/>
        <v>500.78069475354846</v>
      </c>
      <c r="E1121">
        <f t="shared" si="57"/>
        <v>651.01490317961293</v>
      </c>
      <c r="F1121">
        <f t="shared" si="57"/>
        <v>600.93683370425811</v>
      </c>
      <c r="G1121">
        <f t="shared" si="57"/>
        <v>475.74166001587105</v>
      </c>
    </row>
    <row r="1122" spans="1:7" x14ac:dyDescent="0.2">
      <c r="A1122" t="s">
        <v>97</v>
      </c>
      <c r="B1122">
        <f>I1073*B1058-B1071</f>
        <v>-0.53225806451604285</v>
      </c>
      <c r="C1122">
        <f>I1073*C1058-C1071</f>
        <v>-0.38709677419348054</v>
      </c>
      <c r="D1122">
        <f>I1073*D1058-D1071</f>
        <v>-9.6774193548299081E-2</v>
      </c>
      <c r="E1122">
        <f>I1073*E1058-E1071</f>
        <v>0.77419354838707477</v>
      </c>
      <c r="F1122">
        <f>I1073*F1058-F1071</f>
        <v>0.48387096774195015</v>
      </c>
      <c r="G1122">
        <f>I1073*G1058-G1071</f>
        <v>-0.24193548387097508</v>
      </c>
    </row>
    <row r="1123" spans="1:7" x14ac:dyDescent="0.2">
      <c r="A1123" t="s">
        <v>98</v>
      </c>
      <c r="B1123">
        <f t="shared" ref="B1123:G1123" si="58">B1121+B1122</f>
        <v>425.13133247600018</v>
      </c>
      <c r="C1123">
        <f t="shared" si="58"/>
        <v>450.31552850400016</v>
      </c>
      <c r="D1123">
        <f t="shared" si="58"/>
        <v>500.68392056000016</v>
      </c>
      <c r="E1123">
        <f t="shared" si="58"/>
        <v>651.789096728</v>
      </c>
      <c r="F1123">
        <f t="shared" si="58"/>
        <v>601.42070467200006</v>
      </c>
      <c r="G1123">
        <f t="shared" si="58"/>
        <v>475.49972453200007</v>
      </c>
    </row>
    <row r="1124" spans="1:7" x14ac:dyDescent="0.2">
      <c r="A1124" t="s">
        <v>99</v>
      </c>
      <c r="B1124">
        <f t="shared" ref="B1124:G1124" si="59">B1100</f>
        <v>250.37999999999997</v>
      </c>
      <c r="C1124">
        <f t="shared" si="59"/>
        <v>264.41999999999996</v>
      </c>
      <c r="D1124">
        <f t="shared" si="59"/>
        <v>292.49999999999994</v>
      </c>
      <c r="E1124">
        <f t="shared" si="59"/>
        <v>376.73999999999995</v>
      </c>
      <c r="F1124">
        <f t="shared" si="59"/>
        <v>348.65999999999997</v>
      </c>
      <c r="G1124">
        <f t="shared" si="59"/>
        <v>278.45999999999998</v>
      </c>
    </row>
    <row r="1125" spans="1:7" x14ac:dyDescent="0.2">
      <c r="A1125" t="s">
        <v>100</v>
      </c>
      <c r="B1125">
        <f t="shared" ref="B1125:G1125" si="60">B1123-B1124</f>
        <v>174.75133247600021</v>
      </c>
      <c r="C1125">
        <f t="shared" si="60"/>
        <v>185.8955285040002</v>
      </c>
      <c r="D1125">
        <f t="shared" si="60"/>
        <v>208.18392056000022</v>
      </c>
      <c r="E1125">
        <f t="shared" si="60"/>
        <v>275.04909672800005</v>
      </c>
      <c r="F1125">
        <f t="shared" si="60"/>
        <v>252.76070467200009</v>
      </c>
      <c r="G1125">
        <f t="shared" si="60"/>
        <v>197.03972453200009</v>
      </c>
    </row>
    <row r="1126" spans="1:7" x14ac:dyDescent="0.2">
      <c r="A1126" t="s">
        <v>101</v>
      </c>
      <c r="B1126">
        <v>0</v>
      </c>
      <c r="C1126">
        <f>IF(C1187-B1186&gt;0,C1187-B1186,0)</f>
        <v>47.014188437159987</v>
      </c>
      <c r="D1126">
        <f>IF(D1187-C1186&gt;0,D1187-C1186,0)</f>
        <v>0</v>
      </c>
      <c r="E1126">
        <f>IF(E1187-D1186&gt;0,E1187-D1186,0)</f>
        <v>0</v>
      </c>
      <c r="F1126">
        <f>IF(F1187-E1186&gt;0,F1187-E1186,0)</f>
        <v>0</v>
      </c>
      <c r="G1126">
        <f>IF(G1187-F1186&gt;0,G1187-F1186,0)</f>
        <v>0</v>
      </c>
    </row>
    <row r="1127" spans="1:7" x14ac:dyDescent="0.2">
      <c r="A1127" t="s">
        <v>215</v>
      </c>
      <c r="B1127">
        <f t="shared" ref="B1127:G1127" si="61">B1189</f>
        <v>0</v>
      </c>
      <c r="C1127">
        <f t="shared" si="61"/>
        <v>1.6481624904000001</v>
      </c>
      <c r="D1127">
        <f t="shared" si="61"/>
        <v>39.752653426400002</v>
      </c>
      <c r="E1127">
        <f t="shared" si="61"/>
        <v>54.040799339200021</v>
      </c>
      <c r="F1127">
        <f t="shared" si="61"/>
        <v>137.10062652640002</v>
      </c>
      <c r="G1127">
        <f t="shared" si="61"/>
        <v>240.58887617959996</v>
      </c>
    </row>
    <row r="1128" spans="1:7" x14ac:dyDescent="0.2">
      <c r="A1128" t="s">
        <v>102</v>
      </c>
      <c r="B1128">
        <f t="shared" ref="B1128:G1128" si="62">B1125-B1126+B1127</f>
        <v>174.75133247600021</v>
      </c>
      <c r="C1128">
        <f t="shared" si="62"/>
        <v>140.52950255724022</v>
      </c>
      <c r="D1128">
        <f t="shared" si="62"/>
        <v>247.93657398640022</v>
      </c>
      <c r="E1128">
        <f t="shared" si="62"/>
        <v>329.08989606720007</v>
      </c>
      <c r="F1128">
        <f t="shared" si="62"/>
        <v>389.86133119840008</v>
      </c>
      <c r="G1128">
        <f t="shared" si="62"/>
        <v>437.62860071160003</v>
      </c>
    </row>
    <row r="1129" spans="1:7" x14ac:dyDescent="0.2">
      <c r="A1129" t="s">
        <v>103</v>
      </c>
      <c r="B1129" t="str">
        <f>CONCATENATE(G1114)</f>
        <v>90</v>
      </c>
      <c r="C1129" t="str">
        <f>CONCATENATE(G1114)</f>
        <v>90</v>
      </c>
      <c r="D1129" t="str">
        <f>CONCATENATE(G1114)</f>
        <v>90</v>
      </c>
      <c r="E1129" t="str">
        <f>CONCATENATE(G1114)</f>
        <v>90</v>
      </c>
      <c r="F1129" t="str">
        <f>CONCATENATE(G1114)</f>
        <v>90</v>
      </c>
      <c r="G1129" t="str">
        <f>CONCATENATE(G1114)</f>
        <v>90</v>
      </c>
    </row>
    <row r="1130" spans="1:7" x14ac:dyDescent="0.2">
      <c r="A1130" t="s">
        <v>104</v>
      </c>
      <c r="B1130">
        <f t="shared" ref="B1130:G1130" si="63">B1128-B1129</f>
        <v>84.751332476000215</v>
      </c>
      <c r="C1130">
        <f t="shared" si="63"/>
        <v>50.529502557240221</v>
      </c>
      <c r="D1130">
        <f t="shared" si="63"/>
        <v>157.93657398640022</v>
      </c>
      <c r="E1130">
        <f t="shared" si="63"/>
        <v>239.08989606720007</v>
      </c>
      <c r="F1130">
        <f t="shared" si="63"/>
        <v>299.86133119840008</v>
      </c>
      <c r="G1130">
        <f t="shared" si="63"/>
        <v>347.62860071160003</v>
      </c>
    </row>
    <row r="1134" spans="1:7" x14ac:dyDescent="0.2">
      <c r="F1134" s="1" t="s">
        <v>113</v>
      </c>
    </row>
    <row r="1135" spans="1:7" x14ac:dyDescent="0.2">
      <c r="F1135" t="s">
        <v>12</v>
      </c>
    </row>
    <row r="1136" spans="1:7" x14ac:dyDescent="0.2">
      <c r="F1136" t="s">
        <v>114</v>
      </c>
      <c r="G1136" s="2">
        <v>250</v>
      </c>
    </row>
    <row r="1137" spans="6:10" x14ac:dyDescent="0.2">
      <c r="F1137" t="s">
        <v>115</v>
      </c>
      <c r="G1137" s="2">
        <v>250</v>
      </c>
    </row>
    <row r="1138" spans="6:10" x14ac:dyDescent="0.2">
      <c r="F1138" t="s">
        <v>116</v>
      </c>
    </row>
    <row r="1139" spans="6:10" x14ac:dyDescent="0.2">
      <c r="F1139" t="s">
        <v>117</v>
      </c>
    </row>
    <row r="1140" spans="6:10" x14ac:dyDescent="0.2">
      <c r="F1140" t="s">
        <v>193</v>
      </c>
      <c r="G1140" s="2">
        <v>9</v>
      </c>
    </row>
    <row r="1141" spans="6:10" x14ac:dyDescent="0.2">
      <c r="F1141" t="s">
        <v>194</v>
      </c>
      <c r="G1141" s="2">
        <v>10</v>
      </c>
    </row>
    <row r="1142" spans="6:10" x14ac:dyDescent="0.2">
      <c r="F1142" t="s">
        <v>118</v>
      </c>
    </row>
    <row r="1143" spans="6:10" x14ac:dyDescent="0.2">
      <c r="F1143" t="s">
        <v>119</v>
      </c>
      <c r="G1143" s="2">
        <v>10</v>
      </c>
    </row>
    <row r="1144" spans="6:10" x14ac:dyDescent="0.2">
      <c r="F1144" t="s">
        <v>120</v>
      </c>
      <c r="G1144" s="2">
        <v>90</v>
      </c>
    </row>
    <row r="1145" spans="6:10" x14ac:dyDescent="0.2">
      <c r="F1145" t="s">
        <v>121</v>
      </c>
      <c r="G1145" s="2">
        <v>1770</v>
      </c>
    </row>
    <row r="1146" spans="6:10" x14ac:dyDescent="0.2">
      <c r="F1146" t="s">
        <v>122</v>
      </c>
      <c r="G1146" t="s">
        <v>19</v>
      </c>
      <c r="H1146" t="s">
        <v>20</v>
      </c>
      <c r="I1146" t="s">
        <v>7</v>
      </c>
      <c r="J1146" t="s">
        <v>8</v>
      </c>
    </row>
    <row r="1147" spans="6:10" x14ac:dyDescent="0.2">
      <c r="F1147" t="s">
        <v>159</v>
      </c>
      <c r="G1147" s="2">
        <v>0</v>
      </c>
      <c r="H1147" s="2">
        <v>0</v>
      </c>
      <c r="I1147" s="2">
        <v>0</v>
      </c>
      <c r="J1147" s="2">
        <v>0</v>
      </c>
    </row>
    <row r="1149" spans="6:10" x14ac:dyDescent="0.2">
      <c r="F1149" t="s">
        <v>160</v>
      </c>
    </row>
    <row r="1150" spans="6:10" x14ac:dyDescent="0.2">
      <c r="F1150" t="s">
        <v>123</v>
      </c>
      <c r="G1150" s="2">
        <v>0</v>
      </c>
    </row>
    <row r="1151" spans="6:10" x14ac:dyDescent="0.2">
      <c r="F1151" t="s">
        <v>124</v>
      </c>
      <c r="G1151" s="2">
        <v>100</v>
      </c>
    </row>
    <row r="1152" spans="6:10" x14ac:dyDescent="0.2">
      <c r="F1152" t="s">
        <v>125</v>
      </c>
      <c r="G1152" s="2">
        <v>1275</v>
      </c>
    </row>
    <row r="1154" spans="6:10" x14ac:dyDescent="0.2">
      <c r="F1154" t="s">
        <v>126</v>
      </c>
    </row>
    <row r="1155" spans="6:10" x14ac:dyDescent="0.2">
      <c r="F1155" t="s">
        <v>168</v>
      </c>
    </row>
    <row r="1157" spans="6:10" x14ac:dyDescent="0.2">
      <c r="F1157" t="s">
        <v>127</v>
      </c>
    </row>
    <row r="1158" spans="6:10" x14ac:dyDescent="0.2">
      <c r="F1158" t="s">
        <v>128</v>
      </c>
    </row>
    <row r="1160" spans="6:10" x14ac:dyDescent="0.2">
      <c r="F1160" t="s">
        <v>129</v>
      </c>
    </row>
    <row r="1161" spans="6:10" x14ac:dyDescent="0.2">
      <c r="F1161" t="s">
        <v>128</v>
      </c>
    </row>
    <row r="1163" spans="6:10" x14ac:dyDescent="0.2">
      <c r="F1163" t="s">
        <v>130</v>
      </c>
    </row>
    <row r="1164" spans="6:10" x14ac:dyDescent="0.2">
      <c r="F1164" t="s">
        <v>169</v>
      </c>
      <c r="G1164" s="2">
        <v>90</v>
      </c>
    </row>
    <row r="1166" spans="6:10" x14ac:dyDescent="0.2">
      <c r="F1166" t="s">
        <v>131</v>
      </c>
      <c r="G1166" t="s">
        <v>19</v>
      </c>
      <c r="H1166" t="s">
        <v>20</v>
      </c>
      <c r="I1166" t="s">
        <v>7</v>
      </c>
      <c r="J1166" t="s">
        <v>8</v>
      </c>
    </row>
    <row r="1167" spans="6:10" x14ac:dyDescent="0.2">
      <c r="F1167" t="s">
        <v>132</v>
      </c>
      <c r="G1167" s="2">
        <v>0</v>
      </c>
      <c r="H1167" s="2">
        <v>0</v>
      </c>
      <c r="I1167" s="2">
        <v>0</v>
      </c>
      <c r="J1167" s="2">
        <v>0</v>
      </c>
    </row>
    <row r="1169" spans="1:7" x14ac:dyDescent="0.2">
      <c r="B1169" s="4" t="s">
        <v>19</v>
      </c>
      <c r="C1169" s="4" t="s">
        <v>20</v>
      </c>
      <c r="D1169" s="4" t="s">
        <v>7</v>
      </c>
      <c r="E1169" s="4" t="s">
        <v>8</v>
      </c>
      <c r="F1169" s="4" t="s">
        <v>9</v>
      </c>
      <c r="G1169" s="4" t="s">
        <v>10</v>
      </c>
    </row>
    <row r="1170" spans="1:7" x14ac:dyDescent="0.2">
      <c r="A1170" t="s">
        <v>133</v>
      </c>
      <c r="B1170" t="str">
        <f>CONCATENATE(G1136)</f>
        <v>250</v>
      </c>
      <c r="C1170" t="str">
        <f>B1188</f>
        <v>250</v>
      </c>
      <c r="D1170">
        <f>C1188</f>
        <v>266.481624904</v>
      </c>
      <c r="E1170">
        <f>D1188</f>
        <v>647.52653426400002</v>
      </c>
      <c r="F1170">
        <f>E1188</f>
        <v>790.40799339200021</v>
      </c>
      <c r="G1170">
        <f>F1188</f>
        <v>1621.0062652640001</v>
      </c>
    </row>
    <row r="1171" spans="1:7" x14ac:dyDescent="0.2">
      <c r="A1171" t="s">
        <v>134</v>
      </c>
    </row>
    <row r="1172" spans="1:7" x14ac:dyDescent="0.2">
      <c r="A1172" t="s">
        <v>135</v>
      </c>
      <c r="B1172">
        <f t="shared" ref="B1172:G1172" si="64">B1197</f>
        <v>1940</v>
      </c>
      <c r="C1172">
        <f t="shared" si="64"/>
        <v>1710</v>
      </c>
      <c r="D1172">
        <f t="shared" si="64"/>
        <v>1820</v>
      </c>
      <c r="E1172">
        <f t="shared" si="64"/>
        <v>2060</v>
      </c>
      <c r="F1172">
        <f t="shared" si="64"/>
        <v>2580</v>
      </c>
      <c r="G1172">
        <f t="shared" si="64"/>
        <v>2350</v>
      </c>
    </row>
    <row r="1173" spans="1:7" x14ac:dyDescent="0.2">
      <c r="A1173" t="s">
        <v>136</v>
      </c>
      <c r="B1173" t="str">
        <f>CONCATENATE(G1147)</f>
        <v>0</v>
      </c>
      <c r="C1173" t="str">
        <f>CONCATENATE(H1147)</f>
        <v>0</v>
      </c>
      <c r="D1173" t="str">
        <f>CONCATENATE(I1147)</f>
        <v>0</v>
      </c>
      <c r="E1173" t="str">
        <f>CONCATENATE(J1147)</f>
        <v>0</v>
      </c>
      <c r="F1173" t="str">
        <f>CONCATENATE(K764)</f>
        <v>0</v>
      </c>
      <c r="G1173" t="str">
        <f>CONCATENATE(L764)</f>
        <v>0</v>
      </c>
    </row>
    <row r="1174" spans="1:7" x14ac:dyDescent="0.2">
      <c r="A1174" t="s">
        <v>137</v>
      </c>
      <c r="B1174">
        <f t="shared" ref="B1174:G1174" si="65">B1172+B1173</f>
        <v>1940</v>
      </c>
      <c r="C1174">
        <f t="shared" si="65"/>
        <v>1710</v>
      </c>
      <c r="D1174">
        <f t="shared" si="65"/>
        <v>1820</v>
      </c>
      <c r="E1174">
        <f t="shared" si="65"/>
        <v>2060</v>
      </c>
      <c r="F1174">
        <f t="shared" si="65"/>
        <v>2580</v>
      </c>
      <c r="G1174">
        <f t="shared" si="65"/>
        <v>2350</v>
      </c>
    </row>
    <row r="1175" spans="1:7" x14ac:dyDescent="0.2">
      <c r="A1175" t="s">
        <v>138</v>
      </c>
      <c r="B1175">
        <f t="shared" ref="B1175:G1175" si="66">B1174+B1170</f>
        <v>2190</v>
      </c>
      <c r="C1175">
        <f t="shared" si="66"/>
        <v>1960</v>
      </c>
      <c r="D1175">
        <f t="shared" si="66"/>
        <v>2086.481624904</v>
      </c>
      <c r="E1175">
        <f t="shared" si="66"/>
        <v>2707.526534264</v>
      </c>
      <c r="F1175">
        <f t="shared" si="66"/>
        <v>3370.4079933920002</v>
      </c>
      <c r="G1175">
        <f t="shared" si="66"/>
        <v>3971.0062652639999</v>
      </c>
    </row>
    <row r="1176" spans="1:7" x14ac:dyDescent="0.2">
      <c r="A1176" t="s">
        <v>139</v>
      </c>
    </row>
    <row r="1177" spans="1:7" x14ac:dyDescent="0.2">
      <c r="A1177" t="s">
        <v>140</v>
      </c>
      <c r="B1177">
        <f t="shared" ref="B1177:G1177" si="67">B1206</f>
        <v>1275</v>
      </c>
      <c r="C1177">
        <f t="shared" si="67"/>
        <v>442.2696876</v>
      </c>
      <c r="D1177">
        <f t="shared" si="67"/>
        <v>59.968771200000013</v>
      </c>
      <c r="E1177">
        <f t="shared" si="67"/>
        <v>154.91932559999998</v>
      </c>
      <c r="F1177">
        <f t="shared" si="67"/>
        <v>114.94014480000014</v>
      </c>
      <c r="G1177">
        <f t="shared" si="67"/>
        <v>0</v>
      </c>
    </row>
    <row r="1178" spans="1:7" x14ac:dyDescent="0.2">
      <c r="A1178" t="s">
        <v>141</v>
      </c>
      <c r="B1178">
        <f t="shared" ref="B1178:G1178" si="68">B1038</f>
        <v>424.77879600000006</v>
      </c>
      <c r="C1178">
        <f t="shared" si="68"/>
        <v>449.765784</v>
      </c>
      <c r="D1178">
        <f t="shared" si="68"/>
        <v>499.73975999999999</v>
      </c>
      <c r="E1178">
        <f t="shared" si="68"/>
        <v>649.66168800000003</v>
      </c>
      <c r="F1178">
        <f t="shared" si="68"/>
        <v>599.68771200000003</v>
      </c>
      <c r="G1178">
        <f t="shared" si="68"/>
        <v>474.75277200000005</v>
      </c>
    </row>
    <row r="1179" spans="1:7" x14ac:dyDescent="0.2">
      <c r="A1179" t="s">
        <v>142</v>
      </c>
      <c r="B1179">
        <f t="shared" ref="B1179:G1179" si="69">B1071-B1067</f>
        <v>424.56107552399999</v>
      </c>
      <c r="C1179">
        <f t="shared" si="69"/>
        <v>449.40290349599996</v>
      </c>
      <c r="D1179">
        <f t="shared" si="69"/>
        <v>499.08655943999997</v>
      </c>
      <c r="E1179">
        <f t="shared" si="69"/>
        <v>648.13752727200006</v>
      </c>
      <c r="F1179">
        <f t="shared" si="69"/>
        <v>598.45387132799999</v>
      </c>
      <c r="G1179">
        <f t="shared" si="69"/>
        <v>474.24473146800005</v>
      </c>
    </row>
    <row r="1180" spans="1:7" x14ac:dyDescent="0.2">
      <c r="A1180" t="s">
        <v>143</v>
      </c>
      <c r="B1180">
        <f t="shared" ref="B1180:G1180" si="70">B1100-B1097</f>
        <v>248.03999999999996</v>
      </c>
      <c r="C1180">
        <f t="shared" si="70"/>
        <v>262.08</v>
      </c>
      <c r="D1180">
        <f t="shared" si="70"/>
        <v>290.15999999999997</v>
      </c>
      <c r="E1180">
        <f t="shared" si="70"/>
        <v>374.4</v>
      </c>
      <c r="F1180">
        <f t="shared" si="70"/>
        <v>346.32</v>
      </c>
      <c r="G1180">
        <f t="shared" si="70"/>
        <v>276.12</v>
      </c>
    </row>
    <row r="1181" spans="1:7" x14ac:dyDescent="0.2">
      <c r="A1181" t="s">
        <v>144</v>
      </c>
      <c r="B1181" t="str">
        <f>CONCATENATE(G1164)</f>
        <v>90</v>
      </c>
      <c r="C1181" t="str">
        <f>CONCATENATE(G1164)</f>
        <v>90</v>
      </c>
      <c r="D1181" t="str">
        <f>CONCATENATE(G1164)</f>
        <v>90</v>
      </c>
      <c r="E1181" t="str">
        <f>CONCATENATE(G1164)</f>
        <v>90</v>
      </c>
      <c r="F1181" t="str">
        <f>CONCATENATE(G1164)</f>
        <v>90</v>
      </c>
      <c r="G1181" t="str">
        <f>CONCATENATE(G1164)</f>
        <v>90</v>
      </c>
    </row>
    <row r="1182" spans="1:7" x14ac:dyDescent="0.2">
      <c r="A1182" t="s">
        <v>170</v>
      </c>
      <c r="B1182" t="str">
        <f>CONCATENATE(G1167)</f>
        <v>0</v>
      </c>
      <c r="C1182" t="str">
        <f>CONCATENATE(H1167)</f>
        <v>0</v>
      </c>
      <c r="D1182" t="str">
        <f>CONCATENATE(I1167)</f>
        <v>0</v>
      </c>
      <c r="E1182" t="str">
        <f>CONCATENATE(J1167)</f>
        <v>0</v>
      </c>
      <c r="F1182" t="str">
        <f>CONCATENATE(K784)</f>
        <v>0</v>
      </c>
      <c r="G1182" t="str">
        <f>CONCATENATE(L784)</f>
        <v>0</v>
      </c>
    </row>
    <row r="1183" spans="1:7" x14ac:dyDescent="0.2">
      <c r="A1183" t="s">
        <v>145</v>
      </c>
      <c r="B1183">
        <f t="shared" ref="B1183:G1183" si="71">B1182+B1181+B1180+B1179+B1178+B1177</f>
        <v>2462.379871524</v>
      </c>
      <c r="C1183">
        <f t="shared" si="71"/>
        <v>1693.518375096</v>
      </c>
      <c r="D1183">
        <f t="shared" si="71"/>
        <v>1438.95509064</v>
      </c>
      <c r="E1183">
        <f t="shared" si="71"/>
        <v>1917.1185408719998</v>
      </c>
      <c r="F1183">
        <f t="shared" si="71"/>
        <v>1749.4017281280001</v>
      </c>
      <c r="G1183">
        <f t="shared" si="71"/>
        <v>1315.117503468</v>
      </c>
    </row>
    <row r="1184" spans="1:7" x14ac:dyDescent="0.2">
      <c r="A1184" t="s">
        <v>146</v>
      </c>
      <c r="B1184">
        <f t="shared" ref="B1184:G1184" si="72">B1175-B1183</f>
        <v>-272.37987152400001</v>
      </c>
      <c r="C1184">
        <f t="shared" si="72"/>
        <v>266.481624904</v>
      </c>
      <c r="D1184">
        <f t="shared" si="72"/>
        <v>647.52653426400002</v>
      </c>
      <c r="E1184">
        <f t="shared" si="72"/>
        <v>790.40799339200021</v>
      </c>
      <c r="F1184">
        <f t="shared" si="72"/>
        <v>1621.0062652640001</v>
      </c>
      <c r="G1184">
        <f t="shared" si="72"/>
        <v>2655.8887617959999</v>
      </c>
    </row>
    <row r="1185" spans="1:7" x14ac:dyDescent="0.2">
      <c r="A1185" t="s">
        <v>147</v>
      </c>
    </row>
    <row r="1186" spans="1:7" x14ac:dyDescent="0.2">
      <c r="A1186" t="s">
        <v>148</v>
      </c>
      <c r="B1186">
        <f>IF(CONCATENATE(G1137)-B1184&gt;0,CONCATENATE(G1137)-B1184,0)</f>
        <v>522.37987152400001</v>
      </c>
      <c r="C1186">
        <f>IF(CONCATENATE(G1137)-C1184&gt;0,CONCATENATE(G1137)-C1184,0)</f>
        <v>0</v>
      </c>
      <c r="D1186">
        <f>IF(CONCATENATE(G1137)-D1184&gt;0,CONCATENATE(G1137)-D1184,0)</f>
        <v>0</v>
      </c>
      <c r="E1186">
        <f>IF(CONCATENATE(G1137)-E1184&gt;0,CONCATENATE(G1137)-E1184,0)</f>
        <v>0</v>
      </c>
      <c r="F1186">
        <f>IF(CONCATENATE(G1137)-F1184&gt;0,CONCATENATE(G1137)-F1184,0)</f>
        <v>0</v>
      </c>
      <c r="G1186">
        <f>IF(CONCATENATE(G1137)-G1184&gt;0,CONCATENATE(G1137)-G1184,0)</f>
        <v>0</v>
      </c>
    </row>
    <row r="1187" spans="1:7" x14ac:dyDescent="0.2">
      <c r="A1187" t="s">
        <v>149</v>
      </c>
      <c r="C1187">
        <f>SUM(CONCATENATE(G1140)/100*B1186,B1186)</f>
        <v>569.39405996116</v>
      </c>
      <c r="D1187">
        <f>SUM(CONCATENATE(G1140)/100*C1186,C1186)</f>
        <v>0</v>
      </c>
      <c r="E1187">
        <f>SUM(CONCATENATE(G1140)/100*D1186,D1186)</f>
        <v>0</v>
      </c>
      <c r="F1187">
        <f>SUM(CONCATENATE(G1140)/100*E1186,E1186)</f>
        <v>0</v>
      </c>
      <c r="G1187">
        <f>SUM(CONCATENATE(G1140)/100*F1186,F1186)</f>
        <v>0</v>
      </c>
    </row>
    <row r="1188" spans="1:7" x14ac:dyDescent="0.2">
      <c r="A1188" t="s">
        <v>150</v>
      </c>
      <c r="B1188" t="str">
        <f>IF(CONCATENATE(G1137)-B1184&gt;0,CONCATENATE(G1137),B1184)</f>
        <v>250</v>
      </c>
      <c r="C1188">
        <f>IF(C1184-CONCATENATE(G1137)-C1187&gt;CONCATENATE(G1137),C1184-CONCATENATE(G1137)-C1187,C1186+C1184)</f>
        <v>266.481624904</v>
      </c>
      <c r="D1188">
        <f>IF(D1184-CONCATENATE(G1137)-D1187&gt;CONCATENATE(G1137),D1184-CONCATENATE(G1137)-D1187,D1186+D1184)</f>
        <v>647.52653426400002</v>
      </c>
      <c r="E1188">
        <f>IF(E1184-CONCATENATE(G1137)-E1187&gt;CONCATENATE(G1137),E1184-CONCATENATE(G1137)-E1187,E1186+E1184)</f>
        <v>790.40799339200021</v>
      </c>
      <c r="F1188">
        <f>IF(F1184-CONCATENATE(G1137)-F1187&gt;CONCATENATE(G1137),F1184-CONCATENATE(G1137)-F1187,F1186+F1184)</f>
        <v>1621.0062652640001</v>
      </c>
      <c r="G1188">
        <f>IF(G1184-CONCATENATE(G1137)-G1187&gt;CONCATENATE(G1137),G1184-CONCATENATE(G1137)-G1187,G1186+G1184)</f>
        <v>2655.8887617959999</v>
      </c>
    </row>
    <row r="1189" spans="1:7" x14ac:dyDescent="0.2">
      <c r="A1189" t="s">
        <v>192</v>
      </c>
      <c r="B1189">
        <f>IF((B1188-CONCATENATE(G1137))&gt;0,(B1188-CONCATENATE(G1137))*G1141/100,0)</f>
        <v>0</v>
      </c>
      <c r="C1189">
        <f>IF((C1188-CONCATENATE(G1137))&gt;0,(C1188-CONCATENATE(G1137))*G1141/100,0)</f>
        <v>1.6481624904000001</v>
      </c>
      <c r="D1189">
        <f>IF((D1188-CONCATENATE(G1137))&gt;0,(D1188-CONCATENATE(G1137))*G1141/100,0)</f>
        <v>39.752653426400002</v>
      </c>
      <c r="E1189">
        <f>IF((E1188-CONCATENATE(G1137))&gt;0,(E1188-CONCATENATE(G1137))*G1141/100,0)</f>
        <v>54.040799339200021</v>
      </c>
      <c r="F1189">
        <f>IF((F1188-CONCATENATE(G1137))&gt;0,(F1188-CONCATENATE(G1137))*G1141/100,0)</f>
        <v>137.10062652640002</v>
      </c>
      <c r="G1189">
        <f>IF((G1188-CONCATENATE(G1137))&gt;0,(G1188-CONCATENATE(G1137))*G1141/100,0)</f>
        <v>240.58887617959996</v>
      </c>
    </row>
    <row r="1190" spans="1:7" x14ac:dyDescent="0.2">
      <c r="A1190" t="s">
        <v>195</v>
      </c>
      <c r="B1190">
        <f t="shared" ref="B1190:G1190" si="73">B1189-B1126</f>
        <v>0</v>
      </c>
      <c r="C1190">
        <f>C1189-C1126</f>
        <v>-45.36602594675999</v>
      </c>
      <c r="D1190">
        <f>D1189-D1126</f>
        <v>39.752653426400002</v>
      </c>
      <c r="E1190">
        <f t="shared" si="73"/>
        <v>54.040799339200021</v>
      </c>
      <c r="F1190">
        <f t="shared" si="73"/>
        <v>137.10062652640002</v>
      </c>
      <c r="G1190">
        <f t="shared" si="73"/>
        <v>240.58887617959996</v>
      </c>
    </row>
    <row r="1192" spans="1:7" x14ac:dyDescent="0.2">
      <c r="E1192" s="3" t="s">
        <v>151</v>
      </c>
    </row>
    <row r="1193" spans="1:7" x14ac:dyDescent="0.2">
      <c r="B1193" s="4" t="s">
        <v>19</v>
      </c>
      <c r="C1193" s="4" t="s">
        <v>20</v>
      </c>
      <c r="D1193" s="4" t="s">
        <v>7</v>
      </c>
      <c r="E1193" s="4" t="s">
        <v>8</v>
      </c>
      <c r="F1193" s="4" t="s">
        <v>155</v>
      </c>
      <c r="G1193" s="4" t="s">
        <v>10</v>
      </c>
    </row>
    <row r="1194" spans="1:7" x14ac:dyDescent="0.2">
      <c r="A1194" t="s">
        <v>152</v>
      </c>
      <c r="B1194">
        <f t="shared" ref="B1194:G1194" si="74">B995</f>
        <v>1700</v>
      </c>
      <c r="C1194">
        <f t="shared" si="74"/>
        <v>1800</v>
      </c>
      <c r="D1194">
        <f t="shared" si="74"/>
        <v>2000</v>
      </c>
      <c r="E1194">
        <f t="shared" si="74"/>
        <v>2600</v>
      </c>
      <c r="F1194">
        <f t="shared" si="74"/>
        <v>2400</v>
      </c>
      <c r="G1194">
        <f t="shared" si="74"/>
        <v>1900</v>
      </c>
    </row>
    <row r="1195" spans="1:7" x14ac:dyDescent="0.2">
      <c r="A1195" t="s">
        <v>153</v>
      </c>
      <c r="B1195">
        <f>CONCATENATE(G1143)/100*B1194</f>
        <v>170</v>
      </c>
      <c r="C1195">
        <f>CONCATENATE(G1143)/100*C1194</f>
        <v>180</v>
      </c>
      <c r="D1195">
        <f>CONCATENATE(G1143)/100*D1194</f>
        <v>200</v>
      </c>
      <c r="E1195">
        <f>CONCATENATE(G1143)/100*E1194</f>
        <v>260</v>
      </c>
      <c r="F1195">
        <f>CONCATENATE(G1143)/100*F1194</f>
        <v>240</v>
      </c>
      <c r="G1195">
        <f>CONCATENATE(G1143)/100*G1194</f>
        <v>190</v>
      </c>
    </row>
    <row r="1196" spans="1:7" x14ac:dyDescent="0.2">
      <c r="A1196" t="s">
        <v>154</v>
      </c>
      <c r="B1196" t="str">
        <f>CONCATENATE(G1145)</f>
        <v>1770</v>
      </c>
      <c r="C1196">
        <f>CONCATENATE(G1144)/100*B1194</f>
        <v>1530</v>
      </c>
      <c r="D1196">
        <f>CONCATENATE(G1144)/100*C1194</f>
        <v>1620</v>
      </c>
      <c r="E1196">
        <f>CONCATENATE(G1144)/100*D1194</f>
        <v>1800</v>
      </c>
      <c r="F1196">
        <f>CONCATENATE(G1144)/100*E1194</f>
        <v>2340</v>
      </c>
      <c r="G1196">
        <f>CONCATENATE(G1144)/100*F1194</f>
        <v>2160</v>
      </c>
    </row>
    <row r="1197" spans="1:7" x14ac:dyDescent="0.2">
      <c r="A1197" t="s">
        <v>158</v>
      </c>
      <c r="B1197">
        <f t="shared" ref="B1197:G1197" si="75">B1195+B1196</f>
        <v>1940</v>
      </c>
      <c r="C1197">
        <f t="shared" si="75"/>
        <v>1710</v>
      </c>
      <c r="D1197">
        <f t="shared" si="75"/>
        <v>1820</v>
      </c>
      <c r="E1197">
        <f t="shared" si="75"/>
        <v>2060</v>
      </c>
      <c r="F1197">
        <f t="shared" si="75"/>
        <v>2580</v>
      </c>
      <c r="G1197">
        <f t="shared" si="75"/>
        <v>2350</v>
      </c>
    </row>
    <row r="1198" spans="1:7" x14ac:dyDescent="0.2">
      <c r="A1198" t="s">
        <v>156</v>
      </c>
      <c r="B1198" t="str">
        <f>B1196</f>
        <v>1770</v>
      </c>
    </row>
    <row r="1199" spans="1:7" x14ac:dyDescent="0.2">
      <c r="A1199" t="s">
        <v>157</v>
      </c>
      <c r="B1199">
        <f>CONCATENATE(G1144)/100*G1194</f>
        <v>1710</v>
      </c>
    </row>
    <row r="1201" spans="1:7" x14ac:dyDescent="0.2">
      <c r="E1201" s="3" t="s">
        <v>161</v>
      </c>
    </row>
    <row r="1202" spans="1:7" x14ac:dyDescent="0.2">
      <c r="B1202" s="4" t="s">
        <v>19</v>
      </c>
      <c r="C1202" s="4" t="s">
        <v>20</v>
      </c>
      <c r="D1202" s="4" t="s">
        <v>7</v>
      </c>
      <c r="E1202" s="4" t="s">
        <v>8</v>
      </c>
      <c r="F1202" s="4" t="s">
        <v>9</v>
      </c>
      <c r="G1202" s="4" t="s">
        <v>10</v>
      </c>
    </row>
    <row r="1203" spans="1:7" x14ac:dyDescent="0.2">
      <c r="A1203" t="s">
        <v>162</v>
      </c>
      <c r="B1203">
        <f t="shared" ref="B1203:G1203" si="76">B1025</f>
        <v>442.2696876</v>
      </c>
      <c r="C1203">
        <f t="shared" si="76"/>
        <v>59.968771200000013</v>
      </c>
      <c r="D1203">
        <f t="shared" si="76"/>
        <v>154.91932559999998</v>
      </c>
      <c r="E1203">
        <f t="shared" si="76"/>
        <v>114.94014480000014</v>
      </c>
      <c r="F1203">
        <f t="shared" si="76"/>
        <v>0</v>
      </c>
      <c r="G1203">
        <f t="shared" si="76"/>
        <v>0</v>
      </c>
    </row>
    <row r="1204" spans="1:7" x14ac:dyDescent="0.2">
      <c r="A1204" t="s">
        <v>164</v>
      </c>
      <c r="B1204">
        <f>CONCATENATE(G1150)/100*B1203</f>
        <v>0</v>
      </c>
      <c r="C1204">
        <f>CONCATENATE(G1150)/100*C1203</f>
        <v>0</v>
      </c>
      <c r="D1204">
        <f>CONCATENATE(G1150)/100*D1203</f>
        <v>0</v>
      </c>
      <c r="E1204">
        <f>CONCATENATE(G1150)/100*E1203</f>
        <v>0</v>
      </c>
      <c r="F1204">
        <f>CONCATENATE(G1150)/100*F1203</f>
        <v>0</v>
      </c>
      <c r="G1204">
        <f>CONCATENATE(G1150)/100*G1203</f>
        <v>0</v>
      </c>
    </row>
    <row r="1205" spans="1:7" x14ac:dyDescent="0.2">
      <c r="A1205" t="s">
        <v>163</v>
      </c>
      <c r="B1205" t="str">
        <f>B1207</f>
        <v>1275</v>
      </c>
      <c r="C1205">
        <f>CONCATENATE(G1151)/100*B1203</f>
        <v>442.2696876</v>
      </c>
      <c r="D1205">
        <f>CONCATENATE(G1151)/100*C1203</f>
        <v>59.968771200000013</v>
      </c>
      <c r="E1205">
        <f>CONCATENATE(G1151)/100*D1203</f>
        <v>154.91932559999998</v>
      </c>
      <c r="F1205">
        <f>CONCATENATE(G1151)/100*E1203</f>
        <v>114.94014480000014</v>
      </c>
      <c r="G1205">
        <f>CONCATENATE(G1151)/100*F1203</f>
        <v>0</v>
      </c>
    </row>
    <row r="1206" spans="1:7" x14ac:dyDescent="0.2">
      <c r="A1206" t="s">
        <v>165</v>
      </c>
      <c r="B1206">
        <f t="shared" ref="B1206:G1206" si="77">B1204+B1205</f>
        <v>1275</v>
      </c>
      <c r="C1206">
        <f t="shared" si="77"/>
        <v>442.2696876</v>
      </c>
      <c r="D1206">
        <f t="shared" si="77"/>
        <v>59.968771200000013</v>
      </c>
      <c r="E1206">
        <f t="shared" si="77"/>
        <v>154.91932559999998</v>
      </c>
      <c r="F1206">
        <f t="shared" si="77"/>
        <v>114.94014480000014</v>
      </c>
      <c r="G1206">
        <f t="shared" si="77"/>
        <v>0</v>
      </c>
    </row>
    <row r="1207" spans="1:7" x14ac:dyDescent="0.2">
      <c r="A1207" t="s">
        <v>166</v>
      </c>
      <c r="B1207" t="str">
        <f>CONCATENATE(G1152)</f>
        <v>1275</v>
      </c>
    </row>
    <row r="1208" spans="1:7" x14ac:dyDescent="0.2">
      <c r="A1208" t="s">
        <v>167</v>
      </c>
      <c r="B1208">
        <f>CONCATENATE(G1151)/100*G1203</f>
        <v>0</v>
      </c>
    </row>
    <row r="1210" spans="1:7" x14ac:dyDescent="0.2">
      <c r="F1210" s="1" t="s">
        <v>171</v>
      </c>
    </row>
    <row r="1211" spans="1:7" x14ac:dyDescent="0.2">
      <c r="B1211" t="s">
        <v>19</v>
      </c>
      <c r="C1211" t="s">
        <v>20</v>
      </c>
      <c r="D1211" t="s">
        <v>7</v>
      </c>
      <c r="E1211" t="s">
        <v>8</v>
      </c>
      <c r="F1211" t="s">
        <v>9</v>
      </c>
      <c r="G1211" t="s">
        <v>10</v>
      </c>
    </row>
    <row r="1212" spans="1:7" x14ac:dyDescent="0.2">
      <c r="A1212" t="s">
        <v>172</v>
      </c>
    </row>
    <row r="1213" spans="1:7" x14ac:dyDescent="0.2">
      <c r="A1213" t="s">
        <v>173</v>
      </c>
      <c r="B1213" t="str">
        <f t="shared" ref="B1213:G1213" si="78">B1170</f>
        <v>250</v>
      </c>
      <c r="C1213" t="str">
        <f t="shared" si="78"/>
        <v>250</v>
      </c>
      <c r="D1213">
        <f t="shared" si="78"/>
        <v>266.481624904</v>
      </c>
      <c r="E1213">
        <f t="shared" si="78"/>
        <v>647.52653426400002</v>
      </c>
      <c r="F1213">
        <f t="shared" si="78"/>
        <v>790.40799339200021</v>
      </c>
      <c r="G1213">
        <f t="shared" si="78"/>
        <v>1621.0062652640001</v>
      </c>
    </row>
    <row r="1214" spans="1:7" x14ac:dyDescent="0.2">
      <c r="A1214" t="s">
        <v>174</v>
      </c>
      <c r="B1214" t="str">
        <f t="shared" ref="B1214:G1214" si="79">B1173</f>
        <v>0</v>
      </c>
      <c r="C1214" t="str">
        <f t="shared" si="79"/>
        <v>0</v>
      </c>
      <c r="D1214" t="str">
        <f t="shared" si="79"/>
        <v>0</v>
      </c>
      <c r="E1214" t="str">
        <f t="shared" si="79"/>
        <v>0</v>
      </c>
      <c r="F1214" t="str">
        <f t="shared" si="79"/>
        <v>0</v>
      </c>
      <c r="G1214" t="str">
        <f t="shared" si="79"/>
        <v>0</v>
      </c>
    </row>
    <row r="1215" spans="1:7" x14ac:dyDescent="0.2">
      <c r="A1215" t="s">
        <v>175</v>
      </c>
      <c r="B1215" t="str">
        <f>B1198</f>
        <v>1770</v>
      </c>
      <c r="C1215">
        <f>C1196</f>
        <v>1530</v>
      </c>
      <c r="D1215">
        <f>D1196</f>
        <v>1620</v>
      </c>
      <c r="E1215">
        <f>E1196</f>
        <v>1800</v>
      </c>
      <c r="F1215">
        <f>F1196</f>
        <v>2340</v>
      </c>
      <c r="G1215">
        <f>G1196</f>
        <v>2160</v>
      </c>
    </row>
    <row r="1216" spans="1:7" x14ac:dyDescent="0.2">
      <c r="A1216" t="s">
        <v>176</v>
      </c>
    </row>
    <row r="1217" spans="1:7" x14ac:dyDescent="0.2">
      <c r="A1217" t="s">
        <v>177</v>
      </c>
      <c r="B1217">
        <v>1275</v>
      </c>
      <c r="C1217">
        <f>SUM(CONCATENATE(B1217),B1004*F1106)</f>
        <v>1402.4336409459484</v>
      </c>
      <c r="D1217">
        <f>SUM(CONCATENATE(C1217),C1004*G1106)</f>
        <v>1402.4336409459499</v>
      </c>
      <c r="E1217">
        <f>SUM(CONCATENATE(D1217),D1004*H1106)</f>
        <v>1402.4336409459499</v>
      </c>
      <c r="F1217">
        <f>SUM(CONCATENATE(E1217),E1004*I1106)</f>
        <v>1402.4336409459499</v>
      </c>
      <c r="G1217">
        <f>SUM(CONCATENATE(F1217),F1004*J1106)</f>
        <v>1402.4336409459499</v>
      </c>
    </row>
    <row r="1218" spans="1:7" x14ac:dyDescent="0.2">
      <c r="A1218" t="s">
        <v>178</v>
      </c>
      <c r="B1218">
        <v>1275</v>
      </c>
      <c r="C1218">
        <f>SUM(CONCATENATE(B1218),B1020*B1024)</f>
        <v>1589.8360487999998</v>
      </c>
      <c r="D1218">
        <f>SUM(CONCATENATE(C1218),C1020*C1024)</f>
        <v>1939.6538808</v>
      </c>
      <c r="E1218">
        <f>SUM(CONCATENATE(D1218),D1020*D1024)</f>
        <v>2394.4170623999998</v>
      </c>
      <c r="F1218">
        <f>SUM(CONCATENATE(E1218),E1020*E1024)</f>
        <v>2814.1984607999998</v>
      </c>
      <c r="G1218">
        <f>SUM(CONCATENATE(F1218),F1020*F1024)</f>
        <v>3146.5254011999996</v>
      </c>
    </row>
    <row r="1219" spans="1:7" x14ac:dyDescent="0.2">
      <c r="A1219" t="s">
        <v>179</v>
      </c>
      <c r="B1219">
        <v>2000</v>
      </c>
      <c r="C1219" t="str">
        <f>CONCATENATE(B1219)</f>
        <v>2000</v>
      </c>
      <c r="D1219" t="str">
        <f>CONCATENATE(C1219)</f>
        <v>2000</v>
      </c>
      <c r="E1219" t="str">
        <f>CONCATENATE(D1219)</f>
        <v>2000</v>
      </c>
      <c r="F1219" t="str">
        <f>CONCATENATE(E1219)</f>
        <v>2000</v>
      </c>
      <c r="G1219" t="str">
        <f>CONCATENATE(F1219)</f>
        <v>2000</v>
      </c>
    </row>
    <row r="1220" spans="1:7" x14ac:dyDescent="0.2">
      <c r="A1220" t="s">
        <v>180</v>
      </c>
      <c r="B1220">
        <v>600</v>
      </c>
      <c r="C1220">
        <f>SUM(CONCATENATE(B1220),B1067)</f>
        <v>600</v>
      </c>
      <c r="D1220">
        <f>SUM(CONCATENATE(C1220),C1067)</f>
        <v>600</v>
      </c>
      <c r="E1220">
        <f>SUM(CONCATENATE(D1220),D1067)</f>
        <v>600</v>
      </c>
      <c r="F1220">
        <f>SUM(CONCATENATE(E1220),E1067)</f>
        <v>600</v>
      </c>
      <c r="G1220">
        <f>SUM(CONCATENATE(F1220),F1067)</f>
        <v>600</v>
      </c>
    </row>
    <row r="1221" spans="1:7" x14ac:dyDescent="0.2">
      <c r="A1221" t="s">
        <v>181</v>
      </c>
      <c r="B1221">
        <v>2000</v>
      </c>
      <c r="C1221">
        <f>SUM(CONCATENATE(B1221),B1182)</f>
        <v>2000</v>
      </c>
      <c r="D1221">
        <f>SUM(CONCATENATE(C1221),C1182)</f>
        <v>2000</v>
      </c>
      <c r="E1221">
        <f>SUM(CONCATENATE(D1221),D1182)</f>
        <v>2000</v>
      </c>
      <c r="F1221">
        <f>SUM(CONCATENATE(E1221),E1182)</f>
        <v>2000</v>
      </c>
      <c r="G1221">
        <f>SUM(CONCATENATE(F1221),F1182)</f>
        <v>2000</v>
      </c>
    </row>
    <row r="1222" spans="1:7" x14ac:dyDescent="0.2">
      <c r="A1222" t="s">
        <v>182</v>
      </c>
      <c r="B1222">
        <v>600</v>
      </c>
      <c r="C1222">
        <f>SUM(CONCATENATE(B1222),B1097)</f>
        <v>600</v>
      </c>
      <c r="D1222">
        <f>SUM(CONCATENATE(C1222),C1097)</f>
        <v>600</v>
      </c>
      <c r="E1222">
        <f>SUM(CONCATENATE(D1222),D1097)</f>
        <v>600</v>
      </c>
      <c r="F1222">
        <f>SUM(CONCATENATE(E1222),E1097)</f>
        <v>600</v>
      </c>
      <c r="G1222">
        <f>SUM(CONCATENATE(F1222),F1097)</f>
        <v>600</v>
      </c>
    </row>
    <row r="1223" spans="1:7" x14ac:dyDescent="0.2">
      <c r="A1223" t="s">
        <v>183</v>
      </c>
      <c r="B1223">
        <f t="shared" ref="B1223:G1223" si="80">B1213+B1214+B1215+B1217+B1218+B1219+B1220+B1221+B1222</f>
        <v>9770</v>
      </c>
      <c r="C1223">
        <f t="shared" si="80"/>
        <v>9972.2696897459482</v>
      </c>
      <c r="D1223">
        <f t="shared" si="80"/>
        <v>10428.56914664995</v>
      </c>
      <c r="E1223">
        <f t="shared" si="80"/>
        <v>11444.37723760995</v>
      </c>
      <c r="F1223">
        <f t="shared" si="80"/>
        <v>12547.040095137951</v>
      </c>
      <c r="G1223">
        <f t="shared" si="80"/>
        <v>13529.96530740995</v>
      </c>
    </row>
    <row r="1224" spans="1:7" x14ac:dyDescent="0.2">
      <c r="A1224" t="s">
        <v>184</v>
      </c>
    </row>
    <row r="1225" spans="1:7" x14ac:dyDescent="0.2">
      <c r="A1225" t="s">
        <v>185</v>
      </c>
    </row>
    <row r="1226" spans="1:7" x14ac:dyDescent="0.2">
      <c r="A1226" t="s">
        <v>186</v>
      </c>
      <c r="B1226">
        <v>1275</v>
      </c>
      <c r="C1226">
        <f>C1205</f>
        <v>442.2696876</v>
      </c>
      <c r="D1226">
        <f>D1205</f>
        <v>59.968771200000013</v>
      </c>
      <c r="E1226">
        <f>E1205</f>
        <v>154.91932559999998</v>
      </c>
      <c r="F1226">
        <f>F1205</f>
        <v>114.94014480000014</v>
      </c>
      <c r="G1226">
        <f>G1205</f>
        <v>0</v>
      </c>
    </row>
    <row r="1227" spans="1:7" x14ac:dyDescent="0.2">
      <c r="A1227" t="s">
        <v>187</v>
      </c>
      <c r="B1227">
        <v>0</v>
      </c>
      <c r="C1227">
        <f>SUM(CONCATENATE(B1227),B1186)</f>
        <v>522.37987152400001</v>
      </c>
      <c r="D1227">
        <f>SUM(CONCATENATE(C1227),C1186)</f>
        <v>522.37987152400001</v>
      </c>
      <c r="E1227">
        <f>SUM(CONCATENATE(D1227),D1186)</f>
        <v>522.37987152400001</v>
      </c>
      <c r="F1227">
        <f>SUM(CONCATENATE(E1227),E1186)</f>
        <v>522.37987152400001</v>
      </c>
      <c r="G1227">
        <f>SUM(CONCATENATE(F1227),F1186)</f>
        <v>522.37987152400001</v>
      </c>
    </row>
    <row r="1228" spans="1:7" x14ac:dyDescent="0.2">
      <c r="A1228" t="s">
        <v>188</v>
      </c>
    </row>
    <row r="1229" spans="1:7" x14ac:dyDescent="0.2">
      <c r="A1229" t="s">
        <v>189</v>
      </c>
      <c r="B1229">
        <v>1000</v>
      </c>
      <c r="C1229" t="str">
        <f>CONCATENATE(B1229)</f>
        <v>1000</v>
      </c>
      <c r="D1229" t="str">
        <f>CONCATENATE(C1229)</f>
        <v>1000</v>
      </c>
      <c r="E1229" t="str">
        <f>CONCATENATE(D1229)</f>
        <v>1000</v>
      </c>
      <c r="F1229" t="str">
        <f>CONCATENATE(E1229)</f>
        <v>1000</v>
      </c>
      <c r="G1229" t="str">
        <f>CONCATENATE(F1229)</f>
        <v>1000</v>
      </c>
    </row>
    <row r="1230" spans="1:7" x14ac:dyDescent="0.2">
      <c r="A1230" t="s">
        <v>191</v>
      </c>
      <c r="B1230">
        <v>2620</v>
      </c>
      <c r="C1230">
        <f>SUM(CONCATENATE(B1230),B1130)</f>
        <v>2704.7513324760002</v>
      </c>
      <c r="D1230">
        <f>SUM(CONCATENATE(C1230),C1130)</f>
        <v>2755.2808350332398</v>
      </c>
      <c r="E1230">
        <f>SUM(CONCATENATE(D1230),D1130)</f>
        <v>2913.2174090196399</v>
      </c>
      <c r="F1230">
        <f>SUM(CONCATENATE(E1230),E1130)</f>
        <v>3152.3073050868402</v>
      </c>
      <c r="G1230">
        <f>SUM(CONCATENATE(F1230),F1130)</f>
        <v>3452.1686362852402</v>
      </c>
    </row>
    <row r="1231" spans="1:7" x14ac:dyDescent="0.2">
      <c r="A1231" t="s">
        <v>190</v>
      </c>
      <c r="B1231">
        <f t="shared" ref="B1231:G1231" si="81">B1226+B1227+B1229+B1230</f>
        <v>4895</v>
      </c>
      <c r="C1231">
        <f t="shared" si="81"/>
        <v>4669.4008916000003</v>
      </c>
      <c r="D1231">
        <f t="shared" si="81"/>
        <v>4337.6294777572402</v>
      </c>
      <c r="E1231">
        <f t="shared" si="81"/>
        <v>4590.5166061436394</v>
      </c>
      <c r="F1231">
        <f t="shared" si="81"/>
        <v>4789.6273214108405</v>
      </c>
      <c r="G1231">
        <f t="shared" si="81"/>
        <v>4974.5485078092406</v>
      </c>
    </row>
    <row r="1233" spans="1:2" x14ac:dyDescent="0.2">
      <c r="A1233" t="s">
        <v>197</v>
      </c>
    </row>
    <row r="1234" spans="1:2" x14ac:dyDescent="0.2">
      <c r="A1234" t="s">
        <v>208</v>
      </c>
      <c r="B1234">
        <v>3</v>
      </c>
    </row>
    <row r="1235" spans="1:2" x14ac:dyDescent="0.2">
      <c r="A1235" t="s">
        <v>198</v>
      </c>
      <c r="B1235">
        <v>1770</v>
      </c>
    </row>
    <row r="1236" spans="1:2" x14ac:dyDescent="0.2">
      <c r="A1236" t="s">
        <v>202</v>
      </c>
      <c r="B1236">
        <f>SUM(C1231:G1231)</f>
        <v>23361.722804720957</v>
      </c>
    </row>
    <row r="1237" spans="1:2" x14ac:dyDescent="0.2">
      <c r="A1237" t="s">
        <v>203</v>
      </c>
      <c r="B1237">
        <f>SUM(B1197,G1197)</f>
        <v>4290</v>
      </c>
    </row>
    <row r="1238" spans="1:2" x14ac:dyDescent="0.2">
      <c r="A1238" t="s">
        <v>199</v>
      </c>
      <c r="B1238">
        <f>SUM(B1206,G1206)</f>
        <v>1275</v>
      </c>
    </row>
    <row r="1239" spans="1:2" x14ac:dyDescent="0.2">
      <c r="A1239" t="s">
        <v>204</v>
      </c>
      <c r="B1239">
        <f>SUM(B1184:G1184)-SUM(B1190:G1190)</f>
        <v>5282.81437857116</v>
      </c>
    </row>
    <row r="1240" spans="1:2" x14ac:dyDescent="0.2">
      <c r="A1240" t="s">
        <v>206</v>
      </c>
      <c r="B1240">
        <f>(POWER(1+B1236,B1234)-1)/POWER(1+B1236,B1234)*B1236</f>
        <v>23361.722804719127</v>
      </c>
    </row>
    <row r="1241" spans="1:2" x14ac:dyDescent="0.2">
      <c r="A1241" t="s">
        <v>207</v>
      </c>
      <c r="B1241">
        <f>1/POWER(1+B1236,B1234)</f>
        <v>7.8420504425207772E-14</v>
      </c>
    </row>
    <row r="1242" spans="1:2" x14ac:dyDescent="0.2">
      <c r="A1242" t="s">
        <v>205</v>
      </c>
      <c r="B1242">
        <f>-(B1235)+(B1237*B1240)+(B1235*B1241)</f>
        <v>100220020.83224505</v>
      </c>
    </row>
    <row r="1244" spans="1:2" x14ac:dyDescent="0.2">
      <c r="A1244" t="s">
        <v>200</v>
      </c>
    </row>
    <row r="1246" spans="1:2" x14ac:dyDescent="0.2">
      <c r="A1246" t="s">
        <v>201</v>
      </c>
    </row>
    <row r="1247" spans="1:2" x14ac:dyDescent="0.2">
      <c r="A1247" t="s">
        <v>209</v>
      </c>
      <c r="B1247">
        <f>(((B1022+G1020)/2)/(SUM(B1019,C1019,D1019,E1019,F1019,G1019)/182))</f>
        <v>8.7330645161290317</v>
      </c>
    </row>
    <row r="1248" spans="1:2" x14ac:dyDescent="0.2">
      <c r="A1248" t="s">
        <v>210</v>
      </c>
      <c r="B1248">
        <v>0</v>
      </c>
    </row>
    <row r="1249" spans="1:2" x14ac:dyDescent="0.2">
      <c r="A1249" t="s">
        <v>211</v>
      </c>
      <c r="B1249">
        <f>(((G1004+B1006)/2)/(B1120+C1120+D1120+E1120+F1120+G1120/182))</f>
        <v>6.853899158791348E-4</v>
      </c>
    </row>
    <row r="1250" spans="1:2" x14ac:dyDescent="0.2">
      <c r="A1250" t="s">
        <v>212</v>
      </c>
      <c r="B1250">
        <f>(((B1198+B1199)/2)/((B993+C993+D993+E993+F993+G993/182)))</f>
        <v>5.5183229651314756</v>
      </c>
    </row>
    <row r="1251" spans="1:2" x14ac:dyDescent="0.2">
      <c r="A1251" t="s">
        <v>213</v>
      </c>
      <c r="B1251">
        <f>((B1207+B1208)/2)/((B1025+C1025+D1025+E1025+F1025+G1025)/182)</f>
        <v>150.27238853006367</v>
      </c>
    </row>
    <row r="1252" spans="1:2" x14ac:dyDescent="0.2">
      <c r="A1252" t="s">
        <v>214</v>
      </c>
      <c r="B1252">
        <f>B1247+B1248+B1249+B1250-B1251</f>
        <v>-136.02031565888728</v>
      </c>
    </row>
    <row r="1254" spans="1:2" x14ac:dyDescent="0.2">
      <c r="A1254" t="s">
        <v>216</v>
      </c>
    </row>
    <row r="1256" spans="1:2" x14ac:dyDescent="0.2">
      <c r="A1256" t="s">
        <v>221</v>
      </c>
      <c r="B1256">
        <f>(G1013*G1014)/B994</f>
        <v>0.24986987999999999</v>
      </c>
    </row>
    <row r="1257" spans="1:2" x14ac:dyDescent="0.2">
      <c r="A1257" t="s">
        <v>217</v>
      </c>
      <c r="B1257">
        <f>((G1013*G1014)+(0.5*G1030*G1031))/E994</f>
        <v>0.37480481999999998</v>
      </c>
    </row>
    <row r="1258" spans="1:2" x14ac:dyDescent="0.2">
      <c r="A1258" t="s">
        <v>218</v>
      </c>
      <c r="B1258">
        <f>(((B1120/B1118)+(C1120/C1118)+(D1120/D1118)+(E1120/E1118)+(F1120/F1118)+(G1120/G1118))/6)/D994</f>
        <v>0.74960965262322576</v>
      </c>
    </row>
    <row r="1259" spans="1:2" x14ac:dyDescent="0.2">
      <c r="A1259" t="s">
        <v>219</v>
      </c>
      <c r="B1259">
        <v>1</v>
      </c>
    </row>
    <row r="1260" spans="1:2" x14ac:dyDescent="0.2">
      <c r="A1260" t="s">
        <v>220</v>
      </c>
      <c r="B1260">
        <f>B1256</f>
        <v>0.24986987999999999</v>
      </c>
    </row>
    <row r="1261" spans="1:2" x14ac:dyDescent="0.2">
      <c r="A1261" t="s">
        <v>222</v>
      </c>
    </row>
    <row r="1262" spans="1:2" x14ac:dyDescent="0.2">
      <c r="A1262" t="s">
        <v>223</v>
      </c>
    </row>
    <row r="1264" spans="1:2" x14ac:dyDescent="0.2">
      <c r="A1264" t="s">
        <v>224</v>
      </c>
    </row>
  </sheetData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537"/>
  <sheetViews>
    <sheetView tabSelected="1" topLeftCell="A186" workbookViewId="0">
      <selection activeCell="C211" sqref="C211"/>
    </sheetView>
  </sheetViews>
  <sheetFormatPr baseColWidth="10" defaultColWidth="8.83203125" defaultRowHeight="15" x14ac:dyDescent="0.2"/>
  <cols>
    <col min="1" max="1" width="39" customWidth="1"/>
    <col min="2" max="2" width="9.1640625" customWidth="1"/>
    <col min="3" max="3" width="16" customWidth="1"/>
  </cols>
  <sheetData>
    <row r="1" spans="1:10" ht="16" thickBot="1" x14ac:dyDescent="0.25">
      <c r="C1" s="52" t="s">
        <v>571</v>
      </c>
      <c r="D1" s="48"/>
      <c r="E1" s="48"/>
      <c r="F1" s="42"/>
    </row>
    <row r="2" spans="1:10" ht="16" thickBot="1" x14ac:dyDescent="0.25"/>
    <row r="3" spans="1:10" ht="16" thickBot="1" x14ac:dyDescent="0.25">
      <c r="A3" s="36"/>
      <c r="B3" s="40" t="s">
        <v>225</v>
      </c>
      <c r="C3" s="40" t="s">
        <v>226</v>
      </c>
      <c r="D3" s="40" t="s">
        <v>19</v>
      </c>
      <c r="E3" s="40" t="s">
        <v>20</v>
      </c>
      <c r="F3" s="40" t="s">
        <v>7</v>
      </c>
      <c r="G3" s="40" t="s">
        <v>8</v>
      </c>
      <c r="H3" s="40" t="s">
        <v>9</v>
      </c>
      <c r="I3" s="40" t="s">
        <v>10</v>
      </c>
      <c r="J3" s="42" t="s">
        <v>36</v>
      </c>
    </row>
    <row r="4" spans="1:10" x14ac:dyDescent="0.2">
      <c r="A4" s="41" t="s">
        <v>227</v>
      </c>
      <c r="B4" s="34">
        <v>1400</v>
      </c>
      <c r="C4" s="34">
        <v>1500</v>
      </c>
      <c r="D4" s="34"/>
      <c r="E4" s="34"/>
      <c r="F4" s="34"/>
      <c r="G4" s="34"/>
      <c r="H4" s="34"/>
      <c r="I4" s="34"/>
      <c r="J4" s="21"/>
    </row>
    <row r="5" spans="1:10" x14ac:dyDescent="0.2">
      <c r="A5" s="41" t="s">
        <v>570</v>
      </c>
      <c r="B5" s="34"/>
      <c r="C5" s="34"/>
      <c r="D5" s="34">
        <v>250</v>
      </c>
      <c r="E5" s="34">
        <v>250</v>
      </c>
      <c r="F5" s="34">
        <v>250</v>
      </c>
      <c r="G5" s="34">
        <v>250</v>
      </c>
      <c r="H5" s="34">
        <v>250</v>
      </c>
      <c r="I5" s="34">
        <v>250</v>
      </c>
      <c r="J5" s="21"/>
    </row>
    <row r="6" spans="1:10" x14ac:dyDescent="0.2">
      <c r="A6" s="41" t="s">
        <v>83</v>
      </c>
      <c r="B6" s="34"/>
      <c r="C6" s="34"/>
      <c r="D6" s="34"/>
      <c r="E6" s="34"/>
      <c r="F6" s="34"/>
      <c r="G6" s="34"/>
      <c r="H6" s="34"/>
      <c r="I6" s="34">
        <v>100</v>
      </c>
      <c r="J6" s="21"/>
    </row>
    <row r="7" spans="1:10" x14ac:dyDescent="0.2">
      <c r="A7" s="41" t="s">
        <v>173</v>
      </c>
      <c r="B7" s="34"/>
      <c r="C7" s="34">
        <v>250</v>
      </c>
      <c r="D7" s="34"/>
      <c r="E7" s="34"/>
      <c r="F7" s="34"/>
      <c r="G7" s="34"/>
      <c r="H7" s="34"/>
      <c r="I7" s="34"/>
      <c r="J7" s="21"/>
    </row>
    <row r="8" spans="1:10" x14ac:dyDescent="0.2">
      <c r="A8" s="41" t="s">
        <v>228</v>
      </c>
      <c r="B8" s="34"/>
      <c r="C8" s="34">
        <v>0</v>
      </c>
      <c r="D8" s="34"/>
      <c r="E8" s="34"/>
      <c r="F8" s="34"/>
      <c r="G8" s="34"/>
      <c r="H8" s="34"/>
      <c r="I8" s="34"/>
      <c r="J8" s="21"/>
    </row>
    <row r="9" spans="1:10" x14ac:dyDescent="0.2">
      <c r="A9" s="41" t="s">
        <v>229</v>
      </c>
      <c r="B9" s="34"/>
      <c r="C9" s="34">
        <v>1770</v>
      </c>
      <c r="D9" s="34"/>
      <c r="E9" s="34"/>
      <c r="F9" s="34"/>
      <c r="G9" s="34"/>
      <c r="H9" s="34"/>
      <c r="I9" s="34"/>
      <c r="J9" s="21"/>
    </row>
    <row r="10" spans="1:10" x14ac:dyDescent="0.2">
      <c r="A10" s="41" t="s">
        <v>230</v>
      </c>
      <c r="B10" s="34"/>
      <c r="C10" s="34">
        <v>1275</v>
      </c>
      <c r="D10" s="34"/>
      <c r="E10" s="34"/>
      <c r="F10" s="34"/>
      <c r="G10" s="34"/>
      <c r="H10" s="34"/>
      <c r="I10" s="34"/>
      <c r="J10" s="21"/>
    </row>
    <row r="11" spans="1:10" x14ac:dyDescent="0.2">
      <c r="A11" s="41" t="s">
        <v>231</v>
      </c>
      <c r="B11" s="34"/>
      <c r="C11" s="34">
        <v>4000</v>
      </c>
      <c r="D11" s="34"/>
      <c r="E11" s="34"/>
      <c r="F11" s="34"/>
      <c r="G11" s="34"/>
      <c r="H11" s="34"/>
      <c r="I11" s="34"/>
      <c r="J11" s="21"/>
    </row>
    <row r="12" spans="1:10" x14ac:dyDescent="0.2">
      <c r="A12" s="41" t="s">
        <v>232</v>
      </c>
      <c r="B12" s="34"/>
      <c r="C12" s="34">
        <v>1200</v>
      </c>
      <c r="D12" s="34"/>
      <c r="E12" s="34"/>
      <c r="F12" s="34"/>
      <c r="G12" s="34"/>
      <c r="H12" s="34"/>
      <c r="I12" s="34"/>
      <c r="J12" s="21"/>
    </row>
    <row r="13" spans="1:10" x14ac:dyDescent="0.2">
      <c r="A13" s="41" t="s">
        <v>186</v>
      </c>
      <c r="B13" s="34"/>
      <c r="C13" s="34">
        <v>1275</v>
      </c>
      <c r="D13" s="34"/>
      <c r="E13" s="34"/>
      <c r="F13" s="34"/>
      <c r="G13" s="34"/>
      <c r="H13" s="34"/>
      <c r="I13" s="34"/>
      <c r="J13" s="21"/>
    </row>
    <row r="14" spans="1:10" x14ac:dyDescent="0.2">
      <c r="A14" s="41" t="s">
        <v>233</v>
      </c>
      <c r="B14" s="34"/>
      <c r="C14" s="34">
        <v>0</v>
      </c>
      <c r="D14" s="34"/>
      <c r="E14" s="34"/>
      <c r="F14" s="34"/>
      <c r="G14" s="34"/>
      <c r="H14" s="34"/>
      <c r="I14" s="34"/>
      <c r="J14" s="21"/>
    </row>
    <row r="15" spans="1:10" x14ac:dyDescent="0.2">
      <c r="A15" s="41" t="s">
        <v>234</v>
      </c>
      <c r="B15" s="34"/>
      <c r="C15" s="34">
        <v>200</v>
      </c>
      <c r="D15" s="34"/>
      <c r="E15" s="34"/>
      <c r="F15" s="34"/>
      <c r="G15" s="34"/>
      <c r="H15" s="34"/>
      <c r="I15" s="34"/>
      <c r="J15" s="21"/>
    </row>
    <row r="16" spans="1:10" x14ac:dyDescent="0.2">
      <c r="A16" s="41" t="s">
        <v>235</v>
      </c>
      <c r="B16" s="34"/>
      <c r="C16" s="34">
        <v>1000</v>
      </c>
      <c r="D16" s="34"/>
      <c r="E16" s="34"/>
      <c r="F16" s="34"/>
      <c r="G16" s="34"/>
      <c r="H16" s="34"/>
      <c r="I16" s="34"/>
      <c r="J16" s="21"/>
    </row>
    <row r="17" spans="1:10" x14ac:dyDescent="0.2">
      <c r="A17" s="41" t="s">
        <v>189</v>
      </c>
      <c r="B17" s="34"/>
      <c r="C17" s="34">
        <v>1000</v>
      </c>
      <c r="D17" s="34"/>
      <c r="E17" s="34"/>
      <c r="F17" s="34"/>
      <c r="G17" s="34"/>
      <c r="H17" s="34"/>
      <c r="I17" s="34"/>
      <c r="J17" s="21"/>
    </row>
    <row r="18" spans="1:10" ht="16" thickBot="1" x14ac:dyDescent="0.25">
      <c r="A18" s="43" t="s">
        <v>191</v>
      </c>
      <c r="B18" s="35"/>
      <c r="C18" s="35">
        <v>2620</v>
      </c>
      <c r="D18" s="35"/>
      <c r="E18" s="35"/>
      <c r="F18" s="35"/>
      <c r="G18" s="35"/>
      <c r="H18" s="35"/>
      <c r="I18" s="35"/>
      <c r="J18" s="24"/>
    </row>
    <row r="19" spans="1:10" ht="16" thickBot="1" x14ac:dyDescent="0.25"/>
    <row r="20" spans="1:10" ht="16" thickBot="1" x14ac:dyDescent="0.25">
      <c r="A20" s="30"/>
      <c r="B20" s="31"/>
      <c r="C20" s="52" t="s">
        <v>236</v>
      </c>
      <c r="D20" s="48"/>
      <c r="E20" s="42"/>
      <c r="F20" s="31"/>
      <c r="G20" s="32"/>
    </row>
    <row r="21" spans="1:10" x14ac:dyDescent="0.2">
      <c r="A21" s="20" t="s">
        <v>237</v>
      </c>
      <c r="G21" s="21"/>
    </row>
    <row r="22" spans="1:10" ht="16" thickBot="1" x14ac:dyDescent="0.25">
      <c r="A22" s="22" t="s">
        <v>238</v>
      </c>
      <c r="B22" s="23"/>
      <c r="C22" s="23"/>
      <c r="D22" s="23"/>
      <c r="E22" s="23"/>
      <c r="F22" s="23"/>
      <c r="G22" s="24"/>
    </row>
    <row r="23" spans="1:10" ht="16" thickBot="1" x14ac:dyDescent="0.25">
      <c r="A23" s="30"/>
      <c r="B23" s="31"/>
      <c r="C23" s="31" t="s">
        <v>239</v>
      </c>
      <c r="D23" s="31"/>
      <c r="E23" s="31"/>
      <c r="F23" s="31"/>
      <c r="G23" s="32"/>
    </row>
    <row r="24" spans="1:10" ht="16" thickBot="1" x14ac:dyDescent="0.25">
      <c r="A24" s="33"/>
      <c r="B24" s="36" t="s">
        <v>241</v>
      </c>
      <c r="C24" s="36" t="s">
        <v>242</v>
      </c>
      <c r="D24" s="36" t="s">
        <v>243</v>
      </c>
      <c r="E24" s="36" t="s">
        <v>244</v>
      </c>
      <c r="F24" s="36" t="s">
        <v>9</v>
      </c>
      <c r="G24" s="32" t="s">
        <v>245</v>
      </c>
    </row>
    <row r="25" spans="1:10" x14ac:dyDescent="0.2">
      <c r="A25" s="41" t="s">
        <v>240</v>
      </c>
      <c r="B25" s="34"/>
      <c r="C25" s="34"/>
      <c r="D25" s="34"/>
      <c r="E25" s="34"/>
      <c r="F25" s="34"/>
      <c r="G25" s="21"/>
    </row>
    <row r="26" spans="1:10" x14ac:dyDescent="0.2">
      <c r="A26" s="41" t="s">
        <v>246</v>
      </c>
      <c r="B26" s="34">
        <v>8</v>
      </c>
      <c r="C26" s="34">
        <v>9</v>
      </c>
      <c r="D26" s="34">
        <v>10</v>
      </c>
      <c r="E26" s="34">
        <v>9.5</v>
      </c>
      <c r="F26" s="34">
        <v>9</v>
      </c>
      <c r="G26" s="21">
        <v>9</v>
      </c>
    </row>
    <row r="27" spans="1:10" x14ac:dyDescent="0.2">
      <c r="A27" s="41" t="s">
        <v>249</v>
      </c>
      <c r="B27" s="34">
        <v>9.5</v>
      </c>
      <c r="C27" s="34">
        <v>9</v>
      </c>
      <c r="D27" s="34">
        <v>9.5</v>
      </c>
      <c r="E27" s="34">
        <v>9</v>
      </c>
      <c r="F27" s="34">
        <v>9.5</v>
      </c>
      <c r="G27" s="21">
        <v>9.5</v>
      </c>
    </row>
    <row r="28" spans="1:10" x14ac:dyDescent="0.2">
      <c r="A28" s="41" t="s">
        <v>247</v>
      </c>
      <c r="B28" s="34"/>
      <c r="C28" s="34"/>
      <c r="D28" s="34"/>
      <c r="E28" s="34"/>
      <c r="F28" s="34"/>
      <c r="G28" s="21"/>
    </row>
    <row r="29" spans="1:10" x14ac:dyDescent="0.2">
      <c r="A29" s="41" t="s">
        <v>248</v>
      </c>
      <c r="B29" s="34">
        <v>9</v>
      </c>
      <c r="C29" s="34">
        <v>10</v>
      </c>
      <c r="D29" s="34">
        <v>11.5</v>
      </c>
      <c r="E29" s="34">
        <v>11</v>
      </c>
      <c r="F29" s="34">
        <v>9.5</v>
      </c>
      <c r="G29" s="21">
        <v>9.5</v>
      </c>
    </row>
    <row r="30" spans="1:10" x14ac:dyDescent="0.2">
      <c r="A30" s="41" t="s">
        <v>250</v>
      </c>
      <c r="B30" s="34">
        <v>9.5</v>
      </c>
      <c r="C30" s="34">
        <v>10</v>
      </c>
      <c r="D30" s="34">
        <v>11</v>
      </c>
      <c r="E30" s="34">
        <v>11</v>
      </c>
      <c r="F30" s="34">
        <v>10</v>
      </c>
      <c r="G30" s="21">
        <v>10</v>
      </c>
    </row>
    <row r="31" spans="1:10" x14ac:dyDescent="0.2">
      <c r="A31" s="41" t="s">
        <v>251</v>
      </c>
      <c r="B31" s="34">
        <v>10</v>
      </c>
      <c r="C31" s="34">
        <v>10</v>
      </c>
      <c r="D31" s="34">
        <v>10</v>
      </c>
      <c r="E31" s="34">
        <v>10</v>
      </c>
      <c r="F31" s="34">
        <v>10.5</v>
      </c>
      <c r="G31" s="21">
        <v>10.5</v>
      </c>
    </row>
    <row r="32" spans="1:10" ht="16" thickBot="1" x14ac:dyDescent="0.25">
      <c r="A32" s="43" t="s">
        <v>252</v>
      </c>
      <c r="B32" s="35">
        <v>10.5</v>
      </c>
      <c r="C32" s="35">
        <v>10</v>
      </c>
      <c r="D32" s="35">
        <v>10</v>
      </c>
      <c r="E32" s="35">
        <v>10</v>
      </c>
      <c r="F32" s="35">
        <v>11</v>
      </c>
      <c r="G32" s="24">
        <v>11</v>
      </c>
    </row>
    <row r="33" spans="1:6" ht="16" thickBot="1" x14ac:dyDescent="0.25"/>
    <row r="34" spans="1:6" ht="16" thickBot="1" x14ac:dyDescent="0.25">
      <c r="C34" s="40" t="s">
        <v>253</v>
      </c>
    </row>
    <row r="35" spans="1:6" x14ac:dyDescent="0.2">
      <c r="A35" s="33"/>
      <c r="B35" s="18"/>
      <c r="C35" s="18"/>
      <c r="D35" s="18"/>
      <c r="E35" s="19"/>
    </row>
    <row r="36" spans="1:6" x14ac:dyDescent="0.2">
      <c r="A36" s="34"/>
      <c r="B36" t="s">
        <v>254</v>
      </c>
      <c r="C36" t="s">
        <v>255</v>
      </c>
      <c r="D36" t="s">
        <v>256</v>
      </c>
      <c r="E36" s="21"/>
    </row>
    <row r="37" spans="1:6" x14ac:dyDescent="0.2">
      <c r="A37" s="41" t="s">
        <v>257</v>
      </c>
      <c r="B37" s="5">
        <f>A257</f>
        <v>0.8</v>
      </c>
      <c r="C37" s="5">
        <f>A258</f>
        <v>0.2</v>
      </c>
      <c r="D37" s="15">
        <f>100%-(B37+C37)</f>
        <v>0</v>
      </c>
      <c r="E37" s="21"/>
    </row>
    <row r="38" spans="1:6" x14ac:dyDescent="0.2">
      <c r="A38" s="34"/>
      <c r="E38" s="21"/>
    </row>
    <row r="39" spans="1:6" x14ac:dyDescent="0.2">
      <c r="A39" s="34"/>
      <c r="B39" t="s">
        <v>259</v>
      </c>
      <c r="C39" t="s">
        <v>255</v>
      </c>
      <c r="E39" s="21"/>
    </row>
    <row r="40" spans="1:6" x14ac:dyDescent="0.2">
      <c r="A40" s="41" t="s">
        <v>258</v>
      </c>
      <c r="B40" s="5">
        <f>A261</f>
        <v>0</v>
      </c>
      <c r="C40" s="5">
        <f>100%-B40</f>
        <v>1</v>
      </c>
      <c r="E40" s="21"/>
    </row>
    <row r="41" spans="1:6" x14ac:dyDescent="0.2">
      <c r="A41" s="41" t="s">
        <v>260</v>
      </c>
      <c r="B41" t="s">
        <v>261</v>
      </c>
      <c r="E41" s="21"/>
    </row>
    <row r="42" spans="1:6" x14ac:dyDescent="0.2">
      <c r="A42" s="41" t="s">
        <v>262</v>
      </c>
      <c r="B42" s="5">
        <v>0.25</v>
      </c>
      <c r="E42" s="21"/>
    </row>
    <row r="43" spans="1:6" x14ac:dyDescent="0.2">
      <c r="A43" s="41" t="s">
        <v>263</v>
      </c>
      <c r="B43">
        <f>A265</f>
        <v>100</v>
      </c>
      <c r="E43" s="21"/>
    </row>
    <row r="44" spans="1:6" x14ac:dyDescent="0.2">
      <c r="A44" s="41" t="s">
        <v>576</v>
      </c>
      <c r="B44">
        <f>A379</f>
        <v>250</v>
      </c>
      <c r="E44" s="21"/>
    </row>
    <row r="45" spans="1:6" ht="16" thickBot="1" x14ac:dyDescent="0.25">
      <c r="A45" s="43" t="s">
        <v>573</v>
      </c>
      <c r="B45" s="23">
        <f>A381</f>
        <v>0</v>
      </c>
      <c r="C45" s="23"/>
      <c r="D45" s="23"/>
      <c r="E45" s="24"/>
    </row>
    <row r="46" spans="1:6" ht="16" thickBot="1" x14ac:dyDescent="0.25">
      <c r="C46" s="52" t="s">
        <v>264</v>
      </c>
      <c r="D46" s="42"/>
    </row>
    <row r="47" spans="1:6" x14ac:dyDescent="0.2">
      <c r="A47" s="17" t="s">
        <v>569</v>
      </c>
      <c r="B47" s="18"/>
      <c r="C47" s="18"/>
      <c r="D47" s="18"/>
      <c r="E47" s="18"/>
      <c r="F47" s="19"/>
    </row>
    <row r="48" spans="1:6" x14ac:dyDescent="0.2">
      <c r="A48" s="20" t="s">
        <v>265</v>
      </c>
      <c r="F48" s="21"/>
    </row>
    <row r="49" spans="1:8" ht="16" thickBot="1" x14ac:dyDescent="0.25">
      <c r="A49" s="22" t="s">
        <v>266</v>
      </c>
      <c r="B49" s="23"/>
      <c r="C49" s="23"/>
      <c r="D49" s="23"/>
      <c r="E49" s="23"/>
      <c r="F49" s="24"/>
    </row>
    <row r="50" spans="1:8" ht="16" thickBot="1" x14ac:dyDescent="0.25">
      <c r="C50" s="52" t="s">
        <v>267</v>
      </c>
      <c r="D50" s="42"/>
    </row>
    <row r="51" spans="1:8" ht="16" thickBot="1" x14ac:dyDescent="0.25">
      <c r="A51" s="36"/>
      <c r="B51" s="40" t="s">
        <v>241</v>
      </c>
      <c r="C51" s="40" t="s">
        <v>242</v>
      </c>
      <c r="D51" s="40" t="s">
        <v>243</v>
      </c>
      <c r="E51" s="40" t="s">
        <v>244</v>
      </c>
      <c r="F51" s="40" t="s">
        <v>9</v>
      </c>
      <c r="G51" s="40" t="s">
        <v>245</v>
      </c>
      <c r="H51" s="42" t="s">
        <v>307</v>
      </c>
    </row>
    <row r="52" spans="1:8" x14ac:dyDescent="0.2">
      <c r="A52" s="41" t="s">
        <v>227</v>
      </c>
      <c r="B52" s="34">
        <v>1600</v>
      </c>
      <c r="C52" s="34">
        <v>1600</v>
      </c>
      <c r="D52" s="34">
        <v>2000</v>
      </c>
      <c r="E52" s="34">
        <v>2500</v>
      </c>
      <c r="F52" s="34">
        <v>2400</v>
      </c>
      <c r="G52" s="34">
        <v>1800</v>
      </c>
      <c r="H52" s="21">
        <v>1400</v>
      </c>
    </row>
    <row r="53" spans="1:8" x14ac:dyDescent="0.2">
      <c r="A53" s="41" t="s">
        <v>268</v>
      </c>
      <c r="B53" s="34">
        <f>B52*(1-B42)</f>
        <v>1200</v>
      </c>
      <c r="C53" s="34">
        <f>C52*(1-B42)</f>
        <v>1200</v>
      </c>
      <c r="D53" s="34">
        <f>D52*(1-B42)</f>
        <v>1500</v>
      </c>
      <c r="E53" s="34">
        <f>E52*(1-B42)</f>
        <v>1875</v>
      </c>
      <c r="F53" s="34">
        <f>F52*(1-B42)</f>
        <v>1800</v>
      </c>
      <c r="G53" s="34">
        <f>G52*(1-B42)</f>
        <v>1350</v>
      </c>
      <c r="H53" s="21">
        <f>H52*(1-B42)</f>
        <v>1050</v>
      </c>
    </row>
    <row r="54" spans="1:8" x14ac:dyDescent="0.2">
      <c r="A54" s="41" t="s">
        <v>96</v>
      </c>
      <c r="B54" s="34">
        <f t="shared" ref="B54:G54" si="0">B52-B53</f>
        <v>400</v>
      </c>
      <c r="C54" s="34">
        <f t="shared" si="0"/>
        <v>400</v>
      </c>
      <c r="D54" s="34">
        <f t="shared" si="0"/>
        <v>500</v>
      </c>
      <c r="E54" s="34">
        <f t="shared" si="0"/>
        <v>625</v>
      </c>
      <c r="F54" s="34">
        <f t="shared" si="0"/>
        <v>600</v>
      </c>
      <c r="G54" s="34">
        <f t="shared" si="0"/>
        <v>450</v>
      </c>
      <c r="H54" s="21"/>
    </row>
    <row r="55" spans="1:8" x14ac:dyDescent="0.2">
      <c r="A55" s="41" t="s">
        <v>305</v>
      </c>
      <c r="B55" s="34">
        <f>B44</f>
        <v>250</v>
      </c>
      <c r="C55" s="34">
        <v>250</v>
      </c>
      <c r="D55" s="34">
        <v>250</v>
      </c>
      <c r="E55" s="34">
        <v>250</v>
      </c>
      <c r="F55" s="34">
        <v>250</v>
      </c>
      <c r="G55" s="34">
        <v>250</v>
      </c>
      <c r="H55" s="21"/>
    </row>
    <row r="56" spans="1:8" x14ac:dyDescent="0.2">
      <c r="A56" s="41" t="s">
        <v>306</v>
      </c>
      <c r="B56" s="34">
        <f>B45</f>
        <v>0</v>
      </c>
      <c r="C56" s="34">
        <v>0</v>
      </c>
      <c r="D56" s="34">
        <v>0</v>
      </c>
      <c r="E56" s="34">
        <v>0</v>
      </c>
      <c r="F56" s="34">
        <v>0</v>
      </c>
      <c r="G56" s="34">
        <v>100</v>
      </c>
      <c r="H56" s="21"/>
    </row>
    <row r="57" spans="1:8" x14ac:dyDescent="0.2">
      <c r="A57" s="41" t="s">
        <v>269</v>
      </c>
      <c r="B57" s="34">
        <f t="shared" ref="B57:G57" si="1">B54-(B55+B56)</f>
        <v>150</v>
      </c>
      <c r="C57" s="34">
        <f t="shared" si="1"/>
        <v>150</v>
      </c>
      <c r="D57" s="34">
        <f t="shared" si="1"/>
        <v>250</v>
      </c>
      <c r="E57" s="34">
        <f t="shared" si="1"/>
        <v>375</v>
      </c>
      <c r="F57" s="34">
        <f t="shared" si="1"/>
        <v>350</v>
      </c>
      <c r="G57" s="34">
        <f t="shared" si="1"/>
        <v>100</v>
      </c>
      <c r="H57" s="21"/>
    </row>
    <row r="58" spans="1:8" x14ac:dyDescent="0.2">
      <c r="A58" s="41" t="s">
        <v>215</v>
      </c>
      <c r="B58" s="34">
        <f t="shared" ref="B58:G59" si="2">B93</f>
        <v>0</v>
      </c>
      <c r="C58" s="34">
        <f t="shared" si="2"/>
        <v>20.583333333333332</v>
      </c>
      <c r="D58" s="34">
        <f t="shared" si="2"/>
        <v>22.411934521444017</v>
      </c>
      <c r="E58" s="34">
        <f t="shared" si="2"/>
        <v>20.583333333333332</v>
      </c>
      <c r="F58" s="34">
        <f t="shared" si="2"/>
        <v>18.905663634016644</v>
      </c>
      <c r="G58" s="34">
        <f t="shared" si="2"/>
        <v>16.164761978250851</v>
      </c>
      <c r="H58" s="21"/>
    </row>
    <row r="59" spans="1:8" x14ac:dyDescent="0.2">
      <c r="A59" s="41" t="s">
        <v>270</v>
      </c>
      <c r="B59" s="34">
        <f t="shared" si="2"/>
        <v>8.75</v>
      </c>
      <c r="C59" s="34">
        <f t="shared" si="2"/>
        <v>19.891427260932424</v>
      </c>
      <c r="D59" s="34">
        <f t="shared" si="2"/>
        <v>17.473150053265037</v>
      </c>
      <c r="E59" s="34">
        <f t="shared" si="2"/>
        <v>17.473150053265037</v>
      </c>
      <c r="F59" s="34">
        <f t="shared" si="2"/>
        <v>13.657907095548911</v>
      </c>
      <c r="G59" s="34">
        <f t="shared" si="2"/>
        <v>8.75</v>
      </c>
      <c r="H59" s="21"/>
    </row>
    <row r="60" spans="1:8" x14ac:dyDescent="0.2">
      <c r="A60" s="41" t="s">
        <v>271</v>
      </c>
      <c r="B60" s="34">
        <f t="shared" ref="B60:G60" si="3">B57+B58-B59</f>
        <v>141.25</v>
      </c>
      <c r="C60" s="34">
        <f t="shared" si="3"/>
        <v>150.69190607240091</v>
      </c>
      <c r="D60" s="34">
        <f t="shared" si="3"/>
        <v>254.93878446817899</v>
      </c>
      <c r="E60" s="34">
        <f t="shared" si="3"/>
        <v>378.11018328006827</v>
      </c>
      <c r="F60" s="34">
        <f t="shared" si="3"/>
        <v>355.24775653846774</v>
      </c>
      <c r="G60" s="34">
        <f t="shared" si="3"/>
        <v>107.41476197825085</v>
      </c>
      <c r="H60" s="21"/>
    </row>
    <row r="61" spans="1:8" x14ac:dyDescent="0.2">
      <c r="A61" s="41" t="s">
        <v>272</v>
      </c>
      <c r="B61" s="34">
        <f>A383*B60</f>
        <v>56.5</v>
      </c>
      <c r="C61" s="34">
        <f>A383*C60</f>
        <v>60.276762428960367</v>
      </c>
      <c r="D61" s="34">
        <f>A383*D60</f>
        <v>101.97551378727161</v>
      </c>
      <c r="E61" s="34">
        <f>A383*E60</f>
        <v>151.24407331202733</v>
      </c>
      <c r="F61" s="34">
        <f>A383*F60</f>
        <v>142.0991026153871</v>
      </c>
      <c r="G61" s="34">
        <f>A383*G60</f>
        <v>42.965904791300346</v>
      </c>
      <c r="H61" s="21"/>
    </row>
    <row r="62" spans="1:8" ht="16" thickBot="1" x14ac:dyDescent="0.25">
      <c r="A62" s="43" t="s">
        <v>273</v>
      </c>
      <c r="B62" s="35">
        <f t="shared" ref="B62:G62" si="4">B60-B61</f>
        <v>84.75</v>
      </c>
      <c r="C62" s="35">
        <f t="shared" si="4"/>
        <v>90.415143643440544</v>
      </c>
      <c r="D62" s="35">
        <f t="shared" si="4"/>
        <v>152.96327068090739</v>
      </c>
      <c r="E62" s="35">
        <f t="shared" si="4"/>
        <v>226.86610996804094</v>
      </c>
      <c r="F62" s="35">
        <f t="shared" si="4"/>
        <v>213.14865392308064</v>
      </c>
      <c r="G62" s="35">
        <f t="shared" si="4"/>
        <v>64.448857186950505</v>
      </c>
      <c r="H62" s="24"/>
    </row>
    <row r="63" spans="1:8" ht="16" thickBot="1" x14ac:dyDescent="0.25">
      <c r="C63" s="52" t="s">
        <v>274</v>
      </c>
      <c r="D63" s="48"/>
      <c r="E63" s="42"/>
    </row>
    <row r="64" spans="1:8" x14ac:dyDescent="0.2">
      <c r="A64" s="33"/>
      <c r="B64" s="33"/>
      <c r="C64" s="33"/>
      <c r="D64" s="33"/>
      <c r="E64" s="33"/>
      <c r="F64" s="33"/>
      <c r="G64" s="19"/>
    </row>
    <row r="65" spans="1:7" ht="16" thickBot="1" x14ac:dyDescent="0.25">
      <c r="A65" s="41" t="s">
        <v>275</v>
      </c>
      <c r="B65" s="35" t="s">
        <v>241</v>
      </c>
      <c r="C65" s="35" t="s">
        <v>242</v>
      </c>
      <c r="D65" s="35" t="s">
        <v>243</v>
      </c>
      <c r="E65" s="35" t="s">
        <v>244</v>
      </c>
      <c r="F65" s="35" t="s">
        <v>9</v>
      </c>
      <c r="G65" s="24" t="s">
        <v>245</v>
      </c>
    </row>
    <row r="66" spans="1:7" x14ac:dyDescent="0.2">
      <c r="A66" s="34"/>
      <c r="B66" s="34"/>
      <c r="C66" s="34"/>
      <c r="D66" s="34"/>
      <c r="E66" s="34"/>
      <c r="F66" s="34"/>
      <c r="G66" s="21"/>
    </row>
    <row r="67" spans="1:7" x14ac:dyDescent="0.2">
      <c r="A67" s="41" t="s">
        <v>276</v>
      </c>
      <c r="B67" s="34">
        <f>(B52*B37)</f>
        <v>1280</v>
      </c>
      <c r="C67" s="34">
        <f>(C52*B37)</f>
        <v>1280</v>
      </c>
      <c r="D67" s="34">
        <f>(D52*B37)</f>
        <v>1600</v>
      </c>
      <c r="E67" s="34">
        <f>(E52*B37)</f>
        <v>2000</v>
      </c>
      <c r="F67" s="34">
        <f>(F52*B37)</f>
        <v>1920</v>
      </c>
      <c r="G67" s="21">
        <f>(G52*B37)</f>
        <v>1440</v>
      </c>
    </row>
    <row r="68" spans="1:7" x14ac:dyDescent="0.2">
      <c r="A68" s="41" t="s">
        <v>277</v>
      </c>
      <c r="B68" s="34">
        <f>0.6*C4</f>
        <v>900</v>
      </c>
      <c r="C68" s="34">
        <f>(B52*C37)</f>
        <v>320</v>
      </c>
      <c r="D68" s="34">
        <f>(C52*C37)</f>
        <v>320</v>
      </c>
      <c r="E68" s="34">
        <f>(D52*C37)</f>
        <v>400</v>
      </c>
      <c r="F68" s="34">
        <f>(E52*C37)</f>
        <v>500</v>
      </c>
      <c r="G68" s="21">
        <f>(F52*C37)</f>
        <v>480</v>
      </c>
    </row>
    <row r="69" spans="1:7" x14ac:dyDescent="0.2">
      <c r="A69" s="41" t="s">
        <v>278</v>
      </c>
      <c r="B69" s="34">
        <f>(0.3*B4)</f>
        <v>420</v>
      </c>
      <c r="C69" s="34">
        <f>(0.3*C4)</f>
        <v>450</v>
      </c>
      <c r="D69" s="34">
        <f>(B52*D37)</f>
        <v>0</v>
      </c>
      <c r="E69" s="34">
        <f>(C52*D37)</f>
        <v>0</v>
      </c>
      <c r="F69" s="34">
        <f>(D52*D37)</f>
        <v>0</v>
      </c>
      <c r="G69" s="21">
        <f>(E52*D37)</f>
        <v>0</v>
      </c>
    </row>
    <row r="70" spans="1:7" x14ac:dyDescent="0.2">
      <c r="A70" s="41" t="s">
        <v>279</v>
      </c>
      <c r="B70" s="34">
        <f t="shared" ref="B70:G70" si="5">B67+B68+B69</f>
        <v>2600</v>
      </c>
      <c r="C70" s="34">
        <f t="shared" si="5"/>
        <v>2050</v>
      </c>
      <c r="D70" s="34">
        <f t="shared" si="5"/>
        <v>1920</v>
      </c>
      <c r="E70" s="34">
        <f t="shared" si="5"/>
        <v>2400</v>
      </c>
      <c r="F70" s="34">
        <f t="shared" si="5"/>
        <v>2420</v>
      </c>
      <c r="G70" s="21">
        <f t="shared" si="5"/>
        <v>1920</v>
      </c>
    </row>
    <row r="71" spans="1:7" x14ac:dyDescent="0.2">
      <c r="A71" s="41" t="s">
        <v>280</v>
      </c>
      <c r="B71" s="34">
        <f t="shared" ref="B71:G71" si="6">C53</f>
        <v>1200</v>
      </c>
      <c r="C71" s="34">
        <f t="shared" si="6"/>
        <v>1500</v>
      </c>
      <c r="D71" s="34">
        <f t="shared" si="6"/>
        <v>1875</v>
      </c>
      <c r="E71" s="34">
        <f t="shared" si="6"/>
        <v>1800</v>
      </c>
      <c r="F71" s="34">
        <f t="shared" si="6"/>
        <v>1350</v>
      </c>
      <c r="G71" s="21">
        <f t="shared" si="6"/>
        <v>1050</v>
      </c>
    </row>
    <row r="72" spans="1:7" x14ac:dyDescent="0.2">
      <c r="A72" s="34"/>
      <c r="B72" s="34"/>
      <c r="C72" s="34"/>
      <c r="D72" s="34"/>
      <c r="E72" s="34"/>
      <c r="F72" s="34"/>
      <c r="G72" s="21"/>
    </row>
    <row r="73" spans="1:7" x14ac:dyDescent="0.2">
      <c r="A73" s="41" t="s">
        <v>281</v>
      </c>
      <c r="B73" s="34" t="s">
        <v>241</v>
      </c>
      <c r="C73" s="34" t="s">
        <v>242</v>
      </c>
      <c r="D73" s="34" t="s">
        <v>243</v>
      </c>
      <c r="E73" s="34" t="s">
        <v>244</v>
      </c>
      <c r="F73" s="34" t="s">
        <v>9</v>
      </c>
      <c r="G73" s="21" t="s">
        <v>245</v>
      </c>
    </row>
    <row r="74" spans="1:7" x14ac:dyDescent="0.2">
      <c r="A74" s="34"/>
      <c r="B74" s="34"/>
      <c r="C74" s="34"/>
      <c r="D74" s="34"/>
      <c r="E74" s="34"/>
      <c r="F74" s="34"/>
      <c r="G74" s="21"/>
    </row>
    <row r="75" spans="1:7" x14ac:dyDescent="0.2">
      <c r="A75" s="41" t="s">
        <v>282</v>
      </c>
      <c r="B75" s="34">
        <f>B40*B53</f>
        <v>0</v>
      </c>
      <c r="C75" s="34">
        <f>B40*C53</f>
        <v>0</v>
      </c>
      <c r="D75" s="34">
        <f>B40*D53</f>
        <v>0</v>
      </c>
      <c r="E75" s="34">
        <f>B40*E53</f>
        <v>0</v>
      </c>
      <c r="F75" s="34">
        <f>B40*F53</f>
        <v>0</v>
      </c>
      <c r="G75" s="21">
        <f>B40*G53</f>
        <v>0</v>
      </c>
    </row>
    <row r="76" spans="1:7" x14ac:dyDescent="0.2">
      <c r="A76" s="41" t="s">
        <v>283</v>
      </c>
      <c r="B76" s="34">
        <f>C40*B53</f>
        <v>1200</v>
      </c>
      <c r="C76" s="34">
        <f>C40*C53</f>
        <v>1200</v>
      </c>
      <c r="D76" s="34">
        <f>C40*D53</f>
        <v>1500</v>
      </c>
      <c r="E76" s="34">
        <f>C40*E53</f>
        <v>1875</v>
      </c>
      <c r="F76" s="34">
        <f>C40*F53</f>
        <v>1800</v>
      </c>
      <c r="G76" s="21">
        <f>C40*G53</f>
        <v>1350</v>
      </c>
    </row>
    <row r="77" spans="1:7" x14ac:dyDescent="0.2">
      <c r="A77" s="41" t="s">
        <v>284</v>
      </c>
      <c r="B77" s="34">
        <f t="shared" ref="B77:G77" si="7">B55</f>
        <v>250</v>
      </c>
      <c r="C77" s="34">
        <f t="shared" si="7"/>
        <v>250</v>
      </c>
      <c r="D77" s="34">
        <f t="shared" si="7"/>
        <v>250</v>
      </c>
      <c r="E77" s="34">
        <f t="shared" si="7"/>
        <v>250</v>
      </c>
      <c r="F77" s="34">
        <f t="shared" si="7"/>
        <v>250</v>
      </c>
      <c r="G77" s="21">
        <f t="shared" si="7"/>
        <v>250</v>
      </c>
    </row>
    <row r="78" spans="1:7" x14ac:dyDescent="0.2">
      <c r="A78" s="41" t="s">
        <v>272</v>
      </c>
      <c r="B78" s="34">
        <f>0</f>
        <v>0</v>
      </c>
      <c r="C78" s="34">
        <f>0</f>
        <v>0</v>
      </c>
      <c r="D78" s="34">
        <f>200+SUM(B61,C61,D61)</f>
        <v>418.75227621623196</v>
      </c>
      <c r="E78" s="34">
        <f>0</f>
        <v>0</v>
      </c>
      <c r="F78" s="34">
        <f>0</f>
        <v>0</v>
      </c>
      <c r="G78" s="21">
        <f>E61+F61+G61</f>
        <v>336.30908071871477</v>
      </c>
    </row>
    <row r="79" spans="1:7" x14ac:dyDescent="0.2">
      <c r="A79" s="41" t="s">
        <v>285</v>
      </c>
      <c r="B79" s="34">
        <f t="shared" ref="B79:G79" si="8">B75+B76+B77+B78</f>
        <v>1450</v>
      </c>
      <c r="C79" s="34">
        <f t="shared" si="8"/>
        <v>1450</v>
      </c>
      <c r="D79" s="34">
        <f t="shared" si="8"/>
        <v>2168.7522762162321</v>
      </c>
      <c r="E79" s="34">
        <f t="shared" si="8"/>
        <v>2125</v>
      </c>
      <c r="F79" s="34">
        <f t="shared" si="8"/>
        <v>2050</v>
      </c>
      <c r="G79" s="21">
        <f t="shared" si="8"/>
        <v>1936.3090807187148</v>
      </c>
    </row>
    <row r="80" spans="1:7" x14ac:dyDescent="0.2">
      <c r="A80" s="41" t="s">
        <v>286</v>
      </c>
      <c r="B80" s="34">
        <f t="shared" ref="B80:G80" si="9">B70-B79</f>
        <v>1150</v>
      </c>
      <c r="C80" s="34">
        <f t="shared" si="9"/>
        <v>600</v>
      </c>
      <c r="D80" s="34">
        <f t="shared" si="9"/>
        <v>-248.75227621623208</v>
      </c>
      <c r="E80" s="34">
        <f t="shared" si="9"/>
        <v>275</v>
      </c>
      <c r="F80" s="34">
        <f t="shared" si="9"/>
        <v>370</v>
      </c>
      <c r="G80" s="21">
        <f t="shared" si="9"/>
        <v>-16.309080718714767</v>
      </c>
    </row>
    <row r="81" spans="1:7" ht="16" thickBot="1" x14ac:dyDescent="0.25">
      <c r="A81" s="35"/>
      <c r="B81" s="35"/>
      <c r="C81" s="35"/>
      <c r="D81" s="35"/>
      <c r="E81" s="35"/>
      <c r="F81" s="35"/>
      <c r="G81" s="24"/>
    </row>
    <row r="82" spans="1:7" ht="16" thickBot="1" x14ac:dyDescent="0.25">
      <c r="C82" s="52" t="s">
        <v>287</v>
      </c>
      <c r="D82" s="48"/>
      <c r="E82" s="48"/>
      <c r="F82" s="48"/>
      <c r="G82" s="42"/>
    </row>
    <row r="83" spans="1:7" ht="16" thickBot="1" x14ac:dyDescent="0.25"/>
    <row r="84" spans="1:7" x14ac:dyDescent="0.2">
      <c r="A84" s="49" t="s">
        <v>288</v>
      </c>
      <c r="B84" s="18">
        <f>C153</f>
        <v>0</v>
      </c>
      <c r="C84" s="18">
        <f>C154</f>
        <v>243.81349174809154</v>
      </c>
      <c r="D84" s="18">
        <f>C155</f>
        <v>0</v>
      </c>
      <c r="E84" s="18">
        <f>C156</f>
        <v>2173.5927216399473</v>
      </c>
      <c r="F84" s="18">
        <f>C157</f>
        <v>1928.8943187400612</v>
      </c>
      <c r="G84" s="19">
        <f>C157</f>
        <v>1928.8943187400612</v>
      </c>
    </row>
    <row r="85" spans="1:7" x14ac:dyDescent="0.2">
      <c r="A85" s="41" t="s">
        <v>289</v>
      </c>
      <c r="B85">
        <f>C159</f>
        <v>2599.9999999999995</v>
      </c>
      <c r="C85">
        <f>C160</f>
        <v>0</v>
      </c>
      <c r="D85">
        <f>C161</f>
        <v>0</v>
      </c>
      <c r="E85">
        <f>C162</f>
        <v>226.40727836005249</v>
      </c>
      <c r="G85" s="21"/>
    </row>
    <row r="86" spans="1:7" x14ac:dyDescent="0.2">
      <c r="A86" s="41" t="s">
        <v>290</v>
      </c>
      <c r="B86">
        <f>C237</f>
        <v>976.8245737621736</v>
      </c>
      <c r="C86">
        <f>C238</f>
        <v>0</v>
      </c>
      <c r="D86">
        <f>C239</f>
        <v>0</v>
      </c>
      <c r="E86">
        <f>C240</f>
        <v>-5.6843418860808015E-14</v>
      </c>
      <c r="F86">
        <f>C241</f>
        <v>0</v>
      </c>
      <c r="G86" s="21"/>
    </row>
    <row r="87" spans="1:7" x14ac:dyDescent="0.2">
      <c r="A87" s="41" t="s">
        <v>292</v>
      </c>
      <c r="B87">
        <f>C242</f>
        <v>481.92542623782629</v>
      </c>
      <c r="C87">
        <f>C243</f>
        <v>619.94615943775727</v>
      </c>
      <c r="D87">
        <f>C244</f>
        <v>0</v>
      </c>
      <c r="E87">
        <f>C245</f>
        <v>0</v>
      </c>
      <c r="G87" s="21"/>
    </row>
    <row r="88" spans="1:7" x14ac:dyDescent="0.2">
      <c r="A88" s="41" t="s">
        <v>291</v>
      </c>
      <c r="B88">
        <f>C246</f>
        <v>0</v>
      </c>
      <c r="G88" s="21"/>
    </row>
    <row r="89" spans="1:7" ht="16" thickBot="1" x14ac:dyDescent="0.25">
      <c r="A89" s="43" t="s">
        <v>293</v>
      </c>
      <c r="B89" s="23">
        <v>0</v>
      </c>
      <c r="C89" s="23"/>
      <c r="D89" s="23"/>
      <c r="E89" s="23"/>
      <c r="F89" s="23"/>
      <c r="G89" s="24"/>
    </row>
    <row r="90" spans="1:7" ht="16" thickBot="1" x14ac:dyDescent="0.25"/>
    <row r="91" spans="1:7" ht="16" thickBot="1" x14ac:dyDescent="0.25">
      <c r="C91" s="52" t="s">
        <v>294</v>
      </c>
      <c r="D91" s="48"/>
      <c r="E91" s="48"/>
      <c r="F91" s="48"/>
      <c r="G91" s="42"/>
    </row>
    <row r="92" spans="1:7" x14ac:dyDescent="0.2">
      <c r="A92" s="33"/>
      <c r="B92" s="18"/>
      <c r="C92" s="18"/>
      <c r="D92" s="18"/>
      <c r="E92" s="18"/>
      <c r="F92" s="18"/>
      <c r="G92" s="19"/>
    </row>
    <row r="93" spans="1:7" x14ac:dyDescent="0.2">
      <c r="A93" s="41" t="s">
        <v>192</v>
      </c>
      <c r="B93">
        <v>0</v>
      </c>
      <c r="C93">
        <f>D176+D182</f>
        <v>20.583333333333332</v>
      </c>
      <c r="D93">
        <f>D177+D182+D183</f>
        <v>22.411934521444017</v>
      </c>
      <c r="E93">
        <f>D178+D182+D183+D184</f>
        <v>20.583333333333332</v>
      </c>
      <c r="F93">
        <f>D179+D183+D184+D185</f>
        <v>18.905663634016644</v>
      </c>
      <c r="G93" s="21">
        <f>D180+D184+D185</f>
        <v>16.164761978250851</v>
      </c>
    </row>
    <row r="94" spans="1:7" x14ac:dyDescent="0.2">
      <c r="A94" s="41" t="s">
        <v>295</v>
      </c>
      <c r="B94">
        <v>8.75</v>
      </c>
      <c r="C94">
        <f>8.75+D186+D191+D195</f>
        <v>19.891427260932424</v>
      </c>
      <c r="D94">
        <f>8.75+D187+D191+D192+D195</f>
        <v>17.473150053265037</v>
      </c>
      <c r="E94">
        <f>8.75+D188+D191+D192+D193+D195</f>
        <v>17.473150053265037</v>
      </c>
      <c r="F94">
        <f>8.75+D189+D192+D193+D194+D195</f>
        <v>13.657907095548911</v>
      </c>
      <c r="G94" s="21">
        <f>8.75+D190+D193+D194+D195</f>
        <v>8.75</v>
      </c>
    </row>
    <row r="95" spans="1:7" x14ac:dyDescent="0.2">
      <c r="A95" s="41" t="s">
        <v>296</v>
      </c>
      <c r="B95">
        <v>0</v>
      </c>
      <c r="C95">
        <f>C237</f>
        <v>976.8245737621736</v>
      </c>
      <c r="D95">
        <f>C238</f>
        <v>0</v>
      </c>
      <c r="E95">
        <f>C239+C242</f>
        <v>481.92542623782629</v>
      </c>
      <c r="F95">
        <f>C240+C243</f>
        <v>619.94615943775716</v>
      </c>
      <c r="G95" s="21">
        <f>C241+C244</f>
        <v>0</v>
      </c>
    </row>
    <row r="96" spans="1:7" x14ac:dyDescent="0.2">
      <c r="A96" s="41" t="s">
        <v>297</v>
      </c>
      <c r="B96">
        <v>0</v>
      </c>
      <c r="C96">
        <f>C153</f>
        <v>0</v>
      </c>
      <c r="D96">
        <f>C154</f>
        <v>243.81349174809154</v>
      </c>
      <c r="E96">
        <f>C155+C159</f>
        <v>2599.9999999999995</v>
      </c>
      <c r="F96">
        <f>C156+C160</f>
        <v>2173.5927216399473</v>
      </c>
      <c r="G96" s="21">
        <f>C157+C161</f>
        <v>1928.8943187400612</v>
      </c>
    </row>
    <row r="97" spans="1:8" x14ac:dyDescent="0.2">
      <c r="A97" s="41" t="s">
        <v>298</v>
      </c>
      <c r="B97">
        <f>250</f>
        <v>250</v>
      </c>
      <c r="C97">
        <f>B98</f>
        <v>250.00000000000034</v>
      </c>
      <c r="D97">
        <f>C98</f>
        <v>249.99999999989336</v>
      </c>
      <c r="E97">
        <f>D98</f>
        <v>249.99999999993179</v>
      </c>
      <c r="F97">
        <f>E98</f>
        <v>249.99999999988972</v>
      </c>
      <c r="G97" s="21">
        <f>F98</f>
        <v>250.00000000048624</v>
      </c>
    </row>
    <row r="98" spans="1:8" ht="16" thickBot="1" x14ac:dyDescent="0.25">
      <c r="A98" s="43" t="s">
        <v>299</v>
      </c>
      <c r="B98" s="23">
        <f>C210</f>
        <v>250.00000000000034</v>
      </c>
      <c r="C98" s="23">
        <f>C211</f>
        <v>249.99999999989336</v>
      </c>
      <c r="D98" s="23">
        <f>C212</f>
        <v>249.99999999993179</v>
      </c>
      <c r="E98" s="23">
        <f>C213</f>
        <v>249.99999999988972</v>
      </c>
      <c r="F98" s="23">
        <f>C214</f>
        <v>250.00000000048624</v>
      </c>
      <c r="G98" s="24">
        <f>C215</f>
        <v>250.00000000008367</v>
      </c>
    </row>
    <row r="100" spans="1:8" x14ac:dyDescent="0.2">
      <c r="C100" t="s">
        <v>300</v>
      </c>
    </row>
    <row r="102" spans="1:8" x14ac:dyDescent="0.2">
      <c r="B102" t="s">
        <v>241</v>
      </c>
      <c r="C102" t="s">
        <v>242</v>
      </c>
      <c r="D102" t="s">
        <v>243</v>
      </c>
      <c r="F102" t="s">
        <v>244</v>
      </c>
      <c r="G102" t="s">
        <v>9</v>
      </c>
      <c r="H102" t="s">
        <v>245</v>
      </c>
    </row>
    <row r="103" spans="1:8" x14ac:dyDescent="0.2">
      <c r="A103" t="s">
        <v>173</v>
      </c>
    </row>
    <row r="104" spans="1:8" x14ac:dyDescent="0.2">
      <c r="A104" t="s">
        <v>288</v>
      </c>
    </row>
    <row r="105" spans="1:8" x14ac:dyDescent="0.2">
      <c r="A105" t="s">
        <v>289</v>
      </c>
    </row>
    <row r="106" spans="1:8" x14ac:dyDescent="0.2">
      <c r="A106" t="s">
        <v>175</v>
      </c>
    </row>
    <row r="107" spans="1:8" x14ac:dyDescent="0.2">
      <c r="A107" t="s">
        <v>230</v>
      </c>
    </row>
    <row r="108" spans="1:8" x14ac:dyDescent="0.2">
      <c r="A108" t="s">
        <v>301</v>
      </c>
    </row>
    <row r="109" spans="1:8" x14ac:dyDescent="0.2">
      <c r="A109" t="s">
        <v>302</v>
      </c>
    </row>
    <row r="110" spans="1:8" x14ac:dyDescent="0.2">
      <c r="A110" t="s">
        <v>183</v>
      </c>
    </row>
    <row r="112" spans="1:8" x14ac:dyDescent="0.2">
      <c r="A112" t="s">
        <v>186</v>
      </c>
    </row>
    <row r="113" spans="1:10" x14ac:dyDescent="0.2">
      <c r="A113" t="s">
        <v>234</v>
      </c>
    </row>
    <row r="114" spans="1:10" x14ac:dyDescent="0.2">
      <c r="A114" t="s">
        <v>290</v>
      </c>
    </row>
    <row r="115" spans="1:10" x14ac:dyDescent="0.2">
      <c r="A115" t="s">
        <v>292</v>
      </c>
    </row>
    <row r="116" spans="1:10" x14ac:dyDescent="0.2">
      <c r="A116" t="s">
        <v>291</v>
      </c>
    </row>
    <row r="117" spans="1:10" x14ac:dyDescent="0.2">
      <c r="A117" t="s">
        <v>252</v>
      </c>
    </row>
    <row r="118" spans="1:10" x14ac:dyDescent="0.2">
      <c r="A118" t="s">
        <v>303</v>
      </c>
    </row>
    <row r="119" spans="1:10" x14ac:dyDescent="0.2">
      <c r="A119" t="s">
        <v>304</v>
      </c>
    </row>
    <row r="120" spans="1:10" ht="19" x14ac:dyDescent="0.25">
      <c r="J120" s="53"/>
    </row>
    <row r="121" spans="1:10" ht="16" thickBot="1" x14ac:dyDescent="0.25"/>
    <row r="122" spans="1:10" ht="16" thickBot="1" x14ac:dyDescent="0.25">
      <c r="A122" s="40" t="s">
        <v>308</v>
      </c>
    </row>
    <row r="123" spans="1:10" ht="16" thickBot="1" x14ac:dyDescent="0.25"/>
    <row r="124" spans="1:10" ht="16" thickBot="1" x14ac:dyDescent="0.25">
      <c r="A124" s="40" t="s">
        <v>309</v>
      </c>
      <c r="B124" s="19"/>
    </row>
    <row r="125" spans="1:10" x14ac:dyDescent="0.2">
      <c r="A125" s="20" t="s">
        <v>310</v>
      </c>
      <c r="B125" s="21"/>
    </row>
    <row r="126" spans="1:10" x14ac:dyDescent="0.2">
      <c r="A126" s="20" t="s">
        <v>288</v>
      </c>
      <c r="B126" s="21"/>
    </row>
    <row r="127" spans="1:10" x14ac:dyDescent="0.2">
      <c r="A127" s="20" t="s">
        <v>311</v>
      </c>
      <c r="B127" s="21">
        <v>0.08</v>
      </c>
    </row>
    <row r="128" spans="1:10" x14ac:dyDescent="0.2">
      <c r="A128" s="20" t="s">
        <v>312</v>
      </c>
      <c r="B128" s="21">
        <v>0.09</v>
      </c>
    </row>
    <row r="129" spans="1:2" x14ac:dyDescent="0.2">
      <c r="A129" s="20" t="s">
        <v>314</v>
      </c>
      <c r="B129" s="21">
        <v>0.1</v>
      </c>
    </row>
    <row r="130" spans="1:2" x14ac:dyDescent="0.2">
      <c r="A130" s="20" t="s">
        <v>315</v>
      </c>
      <c r="B130" s="21">
        <v>9.5000000000000001E-2</v>
      </c>
    </row>
    <row r="131" spans="1:2" x14ac:dyDescent="0.2">
      <c r="A131" s="20" t="s">
        <v>316</v>
      </c>
      <c r="B131" s="21">
        <v>0.09</v>
      </c>
    </row>
    <row r="132" spans="1:2" x14ac:dyDescent="0.2">
      <c r="A132" s="20" t="s">
        <v>313</v>
      </c>
      <c r="B132" s="21">
        <v>0.09</v>
      </c>
    </row>
    <row r="133" spans="1:2" x14ac:dyDescent="0.2">
      <c r="A133" s="20" t="s">
        <v>289</v>
      </c>
      <c r="B133" s="21"/>
    </row>
    <row r="134" spans="1:2" x14ac:dyDescent="0.2">
      <c r="A134" s="20" t="s">
        <v>317</v>
      </c>
      <c r="B134" s="21">
        <v>9.5000000000000001E-2</v>
      </c>
    </row>
    <row r="135" spans="1:2" x14ac:dyDescent="0.2">
      <c r="A135" s="20" t="s">
        <v>318</v>
      </c>
      <c r="B135" s="21">
        <v>0.09</v>
      </c>
    </row>
    <row r="136" spans="1:2" x14ac:dyDescent="0.2">
      <c r="A136" s="20" t="s">
        <v>319</v>
      </c>
      <c r="B136" s="21">
        <v>9.5000000000000001E-2</v>
      </c>
    </row>
    <row r="137" spans="1:2" x14ac:dyDescent="0.2">
      <c r="A137" s="20" t="s">
        <v>320</v>
      </c>
      <c r="B137" s="21">
        <v>0.09</v>
      </c>
    </row>
    <row r="138" spans="1:2" x14ac:dyDescent="0.2">
      <c r="A138" s="20" t="s">
        <v>290</v>
      </c>
      <c r="B138" s="21"/>
    </row>
    <row r="139" spans="1:2" x14ac:dyDescent="0.2">
      <c r="A139" s="20" t="s">
        <v>321</v>
      </c>
      <c r="B139" s="21">
        <v>0.09</v>
      </c>
    </row>
    <row r="140" spans="1:2" x14ac:dyDescent="0.2">
      <c r="A140" s="20" t="s">
        <v>322</v>
      </c>
      <c r="B140" s="21">
        <v>0.1</v>
      </c>
    </row>
    <row r="141" spans="1:2" x14ac:dyDescent="0.2">
      <c r="A141" s="20" t="s">
        <v>323</v>
      </c>
      <c r="B141" s="21">
        <v>0.115</v>
      </c>
    </row>
    <row r="142" spans="1:2" x14ac:dyDescent="0.2">
      <c r="A142" s="20" t="s">
        <v>324</v>
      </c>
      <c r="B142" s="21">
        <v>0.11</v>
      </c>
    </row>
    <row r="143" spans="1:2" x14ac:dyDescent="0.2">
      <c r="A143" s="20" t="s">
        <v>325</v>
      </c>
      <c r="B143" s="21">
        <v>9.5000000000000001E-2</v>
      </c>
    </row>
    <row r="144" spans="1:2" x14ac:dyDescent="0.2">
      <c r="A144" s="20" t="s">
        <v>292</v>
      </c>
      <c r="B144" s="21"/>
    </row>
    <row r="145" spans="1:6" x14ac:dyDescent="0.2">
      <c r="A145" s="20" t="s">
        <v>326</v>
      </c>
      <c r="B145" s="21">
        <v>9.5000000000000001E-2</v>
      </c>
      <c r="F145" s="1"/>
    </row>
    <row r="146" spans="1:6" x14ac:dyDescent="0.2">
      <c r="A146" s="20" t="s">
        <v>327</v>
      </c>
      <c r="B146" s="21">
        <v>0.1</v>
      </c>
    </row>
    <row r="147" spans="1:6" x14ac:dyDescent="0.2">
      <c r="A147" s="20" t="s">
        <v>328</v>
      </c>
      <c r="B147" s="21">
        <v>0.11</v>
      </c>
    </row>
    <row r="148" spans="1:6" x14ac:dyDescent="0.2">
      <c r="A148" s="20" t="s">
        <v>329</v>
      </c>
      <c r="B148" s="21">
        <v>0.11</v>
      </c>
    </row>
    <row r="149" spans="1:6" x14ac:dyDescent="0.2">
      <c r="A149" s="20" t="s">
        <v>291</v>
      </c>
      <c r="B149" s="21"/>
    </row>
    <row r="150" spans="1:6" ht="16" thickBot="1" x14ac:dyDescent="0.25">
      <c r="A150" s="22" t="s">
        <v>330</v>
      </c>
      <c r="B150" s="24">
        <v>0.1</v>
      </c>
    </row>
    <row r="152" spans="1:6" ht="16" thickBot="1" x14ac:dyDescent="0.25">
      <c r="A152" s="47" t="s">
        <v>584</v>
      </c>
    </row>
    <row r="153" spans="1:6" x14ac:dyDescent="0.2">
      <c r="A153" s="17" t="s">
        <v>332</v>
      </c>
      <c r="B153" s="18" t="s">
        <v>361</v>
      </c>
      <c r="C153" s="19">
        <v>0</v>
      </c>
    </row>
    <row r="154" spans="1:6" x14ac:dyDescent="0.2">
      <c r="A154" s="20" t="s">
        <v>333</v>
      </c>
      <c r="B154" t="s">
        <v>362</v>
      </c>
      <c r="C154" s="21">
        <v>243.81349174809154</v>
      </c>
    </row>
    <row r="155" spans="1:6" x14ac:dyDescent="0.2">
      <c r="A155" s="20" t="s">
        <v>334</v>
      </c>
      <c r="B155" t="s">
        <v>363</v>
      </c>
      <c r="C155" s="21">
        <v>0</v>
      </c>
    </row>
    <row r="156" spans="1:6" x14ac:dyDescent="0.2">
      <c r="A156" s="20" t="s">
        <v>335</v>
      </c>
      <c r="B156" t="s">
        <v>364</v>
      </c>
      <c r="C156" s="21">
        <v>2173.5927216399473</v>
      </c>
    </row>
    <row r="157" spans="1:6" x14ac:dyDescent="0.2">
      <c r="A157" s="20" t="s">
        <v>336</v>
      </c>
      <c r="B157" t="s">
        <v>365</v>
      </c>
      <c r="C157" s="21">
        <v>1928.8943187400612</v>
      </c>
    </row>
    <row r="158" spans="1:6" x14ac:dyDescent="0.2">
      <c r="A158" s="20" t="s">
        <v>337</v>
      </c>
      <c r="B158" t="s">
        <v>366</v>
      </c>
      <c r="C158" s="21">
        <v>1920</v>
      </c>
    </row>
    <row r="159" spans="1:6" x14ac:dyDescent="0.2">
      <c r="A159" s="20" t="s">
        <v>338</v>
      </c>
      <c r="B159" t="s">
        <v>367</v>
      </c>
      <c r="C159" s="21">
        <v>2599.9999999999995</v>
      </c>
    </row>
    <row r="160" spans="1:6" x14ac:dyDescent="0.2">
      <c r="A160" s="20" t="s">
        <v>339</v>
      </c>
      <c r="B160" t="s">
        <v>368</v>
      </c>
      <c r="C160" s="21">
        <v>0</v>
      </c>
    </row>
    <row r="161" spans="1:7" x14ac:dyDescent="0.2">
      <c r="A161" s="20" t="s">
        <v>340</v>
      </c>
      <c r="B161" t="s">
        <v>369</v>
      </c>
      <c r="C161" s="21">
        <v>0</v>
      </c>
    </row>
    <row r="162" spans="1:7" x14ac:dyDescent="0.2">
      <c r="A162" s="20" t="s">
        <v>341</v>
      </c>
      <c r="B162" t="s">
        <v>370</v>
      </c>
      <c r="C162" s="21">
        <v>226.40727836005249</v>
      </c>
    </row>
    <row r="163" spans="1:7" x14ac:dyDescent="0.2">
      <c r="A163" s="20" t="s">
        <v>342</v>
      </c>
      <c r="B163" t="s">
        <v>371</v>
      </c>
      <c r="C163" s="21">
        <v>976.8245737621736</v>
      </c>
    </row>
    <row r="164" spans="1:7" x14ac:dyDescent="0.2">
      <c r="A164" s="20" t="s">
        <v>343</v>
      </c>
      <c r="B164" t="s">
        <v>372</v>
      </c>
      <c r="C164" s="21">
        <v>0</v>
      </c>
    </row>
    <row r="165" spans="1:7" x14ac:dyDescent="0.2">
      <c r="A165" s="20" t="s">
        <v>344</v>
      </c>
      <c r="B165" t="s">
        <v>373</v>
      </c>
      <c r="C165" s="21">
        <v>0</v>
      </c>
    </row>
    <row r="166" spans="1:7" x14ac:dyDescent="0.2">
      <c r="A166" s="20" t="s">
        <v>345</v>
      </c>
      <c r="B166" t="s">
        <v>374</v>
      </c>
      <c r="C166" s="21">
        <v>-5.6843418860808015E-14</v>
      </c>
    </row>
    <row r="167" spans="1:7" x14ac:dyDescent="0.2">
      <c r="A167" s="20" t="s">
        <v>346</v>
      </c>
      <c r="B167" t="s">
        <v>375</v>
      </c>
      <c r="C167" s="21">
        <v>0</v>
      </c>
    </row>
    <row r="168" spans="1:7" x14ac:dyDescent="0.2">
      <c r="A168" s="20" t="s">
        <v>347</v>
      </c>
      <c r="B168" t="s">
        <v>376</v>
      </c>
      <c r="C168" s="21">
        <v>481.92542623782629</v>
      </c>
    </row>
    <row r="169" spans="1:7" x14ac:dyDescent="0.2">
      <c r="A169" s="20" t="s">
        <v>348</v>
      </c>
      <c r="B169" t="s">
        <v>377</v>
      </c>
      <c r="C169" s="21">
        <v>619.94615943775727</v>
      </c>
    </row>
    <row r="170" spans="1:7" x14ac:dyDescent="0.2">
      <c r="A170" s="20" t="s">
        <v>349</v>
      </c>
      <c r="B170" t="s">
        <v>378</v>
      </c>
      <c r="C170" s="21">
        <v>0</v>
      </c>
    </row>
    <row r="171" spans="1:7" x14ac:dyDescent="0.2">
      <c r="A171" s="20" t="s">
        <v>350</v>
      </c>
      <c r="B171" t="s">
        <v>379</v>
      </c>
      <c r="C171" s="21">
        <v>0</v>
      </c>
    </row>
    <row r="172" spans="1:7" ht="16" thickBot="1" x14ac:dyDescent="0.25">
      <c r="A172" s="22" t="s">
        <v>351</v>
      </c>
      <c r="B172" s="23" t="s">
        <v>380</v>
      </c>
      <c r="C172" s="24">
        <v>0</v>
      </c>
    </row>
    <row r="174" spans="1:7" ht="16" thickBot="1" x14ac:dyDescent="0.25"/>
    <row r="175" spans="1:7" ht="16" thickBot="1" x14ac:dyDescent="0.25">
      <c r="A175" s="45" t="s">
        <v>352</v>
      </c>
      <c r="B175" s="19"/>
      <c r="C175" s="37"/>
      <c r="D175" s="31"/>
      <c r="E175" s="31"/>
      <c r="F175" s="31"/>
      <c r="G175" s="32"/>
    </row>
    <row r="176" spans="1:7" x14ac:dyDescent="0.2">
      <c r="A176" s="20"/>
      <c r="B176" s="21"/>
      <c r="C176" s="44" t="s">
        <v>355</v>
      </c>
      <c r="D176">
        <f t="shared" ref="D176:D181" si="10">B127*C153/12</f>
        <v>0</v>
      </c>
      <c r="E176" t="s">
        <v>361</v>
      </c>
      <c r="G176" s="21"/>
    </row>
    <row r="177" spans="1:7" x14ac:dyDescent="0.2">
      <c r="A177" s="46" t="s">
        <v>353</v>
      </c>
      <c r="B177" s="21">
        <f>D198-D199</f>
        <v>12.653392337366768</v>
      </c>
      <c r="C177" s="38"/>
      <c r="D177">
        <f t="shared" si="10"/>
        <v>1.8286011881106863</v>
      </c>
      <c r="E177" t="s">
        <v>362</v>
      </c>
      <c r="G177" s="21"/>
    </row>
    <row r="178" spans="1:7" x14ac:dyDescent="0.2">
      <c r="A178" s="20"/>
      <c r="B178" s="21"/>
      <c r="C178" s="38"/>
      <c r="D178">
        <f t="shared" si="10"/>
        <v>0</v>
      </c>
      <c r="E178" t="s">
        <v>363</v>
      </c>
      <c r="G178" s="21"/>
    </row>
    <row r="179" spans="1:7" x14ac:dyDescent="0.2">
      <c r="A179" s="20"/>
      <c r="B179" s="21"/>
      <c r="C179" s="38"/>
      <c r="D179">
        <f t="shared" si="10"/>
        <v>17.20760904631625</v>
      </c>
      <c r="E179" t="s">
        <v>364</v>
      </c>
      <c r="G179" s="21"/>
    </row>
    <row r="180" spans="1:7" x14ac:dyDescent="0.2">
      <c r="A180" s="20"/>
      <c r="B180" s="21"/>
      <c r="C180" s="38"/>
      <c r="D180">
        <f t="shared" si="10"/>
        <v>14.466707390550459</v>
      </c>
      <c r="E180" t="s">
        <v>365</v>
      </c>
      <c r="G180" s="21"/>
    </row>
    <row r="181" spans="1:7" x14ac:dyDescent="0.2">
      <c r="A181" s="20"/>
      <c r="B181" s="21"/>
      <c r="C181" s="38"/>
      <c r="D181">
        <f t="shared" si="10"/>
        <v>14.399999999999999</v>
      </c>
      <c r="E181" t="s">
        <v>366</v>
      </c>
      <c r="G181" s="21"/>
    </row>
    <row r="182" spans="1:7" x14ac:dyDescent="0.2">
      <c r="A182" s="20"/>
      <c r="B182" s="21"/>
      <c r="C182" s="38"/>
      <c r="D182">
        <f>B134*C159/12</f>
        <v>20.583333333333332</v>
      </c>
      <c r="E182" t="s">
        <v>367</v>
      </c>
      <c r="G182" s="21"/>
    </row>
    <row r="183" spans="1:7" x14ac:dyDescent="0.2">
      <c r="A183" s="20"/>
      <c r="B183" s="21"/>
      <c r="C183" s="38"/>
      <c r="D183">
        <f>B135*C160/12</f>
        <v>0</v>
      </c>
      <c r="E183" t="s">
        <v>368</v>
      </c>
      <c r="G183" s="21"/>
    </row>
    <row r="184" spans="1:7" x14ac:dyDescent="0.2">
      <c r="A184" s="20"/>
      <c r="B184" s="21"/>
      <c r="C184" s="38"/>
      <c r="D184">
        <f>B136*C161/12</f>
        <v>0</v>
      </c>
      <c r="E184" t="s">
        <v>369</v>
      </c>
      <c r="G184" s="21"/>
    </row>
    <row r="185" spans="1:7" ht="16" thickBot="1" x14ac:dyDescent="0.25">
      <c r="A185" s="20"/>
      <c r="B185" s="21"/>
      <c r="C185" s="39"/>
      <c r="D185" s="23">
        <f>B137*C162/12</f>
        <v>1.6980545877003934</v>
      </c>
      <c r="E185" s="23" t="s">
        <v>370</v>
      </c>
      <c r="F185" s="23"/>
      <c r="G185" s="24"/>
    </row>
    <row r="186" spans="1:7" x14ac:dyDescent="0.2">
      <c r="A186" s="20"/>
      <c r="B186" s="21"/>
      <c r="C186" s="38"/>
      <c r="D186">
        <f>B139*C237/12</f>
        <v>7.3261843032163014</v>
      </c>
      <c r="E186" t="s">
        <v>371</v>
      </c>
      <c r="G186" s="21"/>
    </row>
    <row r="187" spans="1:7" x14ac:dyDescent="0.2">
      <c r="A187" s="20"/>
      <c r="B187" s="21"/>
      <c r="C187" s="44" t="s">
        <v>356</v>
      </c>
      <c r="D187">
        <f>B140*C238/12</f>
        <v>0</v>
      </c>
      <c r="E187" t="s">
        <v>372</v>
      </c>
      <c r="G187" s="21"/>
    </row>
    <row r="188" spans="1:7" x14ac:dyDescent="0.2">
      <c r="A188" s="20"/>
      <c r="B188" s="21"/>
      <c r="C188" s="38"/>
      <c r="D188">
        <f>B141*C239/12</f>
        <v>0</v>
      </c>
      <c r="E188" t="s">
        <v>373</v>
      </c>
      <c r="G188" s="21"/>
    </row>
    <row r="189" spans="1:7" x14ac:dyDescent="0.2">
      <c r="A189" s="20"/>
      <c r="B189" s="21"/>
      <c r="C189" s="38"/>
      <c r="D189">
        <f>B142*C240/12</f>
        <v>-5.2106467289074014E-16</v>
      </c>
      <c r="E189" t="s">
        <v>374</v>
      </c>
      <c r="G189" s="21"/>
    </row>
    <row r="190" spans="1:7" x14ac:dyDescent="0.2">
      <c r="A190" s="20"/>
      <c r="B190" s="21"/>
      <c r="C190" s="38"/>
      <c r="D190">
        <f>B143*C241/12</f>
        <v>0</v>
      </c>
      <c r="E190" t="s">
        <v>375</v>
      </c>
      <c r="G190" s="21"/>
    </row>
    <row r="191" spans="1:7" x14ac:dyDescent="0.2">
      <c r="A191" s="20"/>
      <c r="B191" s="21"/>
      <c r="C191" s="38"/>
      <c r="D191">
        <f>B145*C242/12</f>
        <v>3.8152429577161246</v>
      </c>
      <c r="E191" t="s">
        <v>376</v>
      </c>
      <c r="G191" s="21"/>
    </row>
    <row r="192" spans="1:7" x14ac:dyDescent="0.2">
      <c r="A192" s="20"/>
      <c r="B192" s="21"/>
      <c r="C192" s="38"/>
      <c r="D192">
        <f>B145*C243/12</f>
        <v>4.9079070955489117</v>
      </c>
      <c r="E192" t="s">
        <v>377</v>
      </c>
      <c r="G192" s="21"/>
    </row>
    <row r="193" spans="1:7" x14ac:dyDescent="0.2">
      <c r="A193" s="20"/>
      <c r="B193" s="21"/>
      <c r="C193" s="38"/>
      <c r="D193">
        <f>B147*C244/12</f>
        <v>0</v>
      </c>
      <c r="E193" t="s">
        <v>378</v>
      </c>
      <c r="G193" s="21"/>
    </row>
    <row r="194" spans="1:7" x14ac:dyDescent="0.2">
      <c r="A194" s="20"/>
      <c r="B194" s="21"/>
      <c r="C194" s="38"/>
      <c r="D194">
        <f>B148*C245/12</f>
        <v>0</v>
      </c>
      <c r="E194" t="s">
        <v>379</v>
      </c>
      <c r="G194" s="21"/>
    </row>
    <row r="195" spans="1:7" x14ac:dyDescent="0.2">
      <c r="A195" s="20"/>
      <c r="B195" s="21"/>
      <c r="C195" s="38"/>
      <c r="D195">
        <f>B150*C246/12</f>
        <v>0</v>
      </c>
      <c r="E195" t="s">
        <v>380</v>
      </c>
      <c r="G195" s="21"/>
    </row>
    <row r="196" spans="1:7" x14ac:dyDescent="0.2">
      <c r="A196" s="20"/>
      <c r="B196" s="21"/>
      <c r="C196" s="38"/>
      <c r="G196" s="21"/>
    </row>
    <row r="197" spans="1:7" ht="16" thickBot="1" x14ac:dyDescent="0.25">
      <c r="A197" s="20"/>
      <c r="B197" s="21"/>
      <c r="C197" s="39"/>
      <c r="D197" s="23"/>
      <c r="E197" s="23"/>
      <c r="F197" s="23"/>
      <c r="G197" s="24"/>
    </row>
    <row r="198" spans="1:7" x14ac:dyDescent="0.2">
      <c r="A198" s="20"/>
      <c r="B198" s="21"/>
      <c r="C198" t="s">
        <v>357</v>
      </c>
      <c r="D198">
        <f>SUM(B93,C93,D93,E93,F93,G93)</f>
        <v>98.649026800378181</v>
      </c>
      <c r="G198" s="21"/>
    </row>
    <row r="199" spans="1:7" ht="16" thickBot="1" x14ac:dyDescent="0.25">
      <c r="A199" s="22"/>
      <c r="B199" s="24"/>
      <c r="C199" s="23" t="s">
        <v>358</v>
      </c>
      <c r="D199" s="23">
        <f>SUM(B94,C94,D94,E94,F94,G94)</f>
        <v>85.995634463011413</v>
      </c>
      <c r="E199" s="23"/>
      <c r="F199" s="23"/>
      <c r="G199" s="24"/>
    </row>
    <row r="200" spans="1:7" ht="16" thickBot="1" x14ac:dyDescent="0.25"/>
    <row r="201" spans="1:7" x14ac:dyDescent="0.2">
      <c r="A201" s="17" t="s">
        <v>354</v>
      </c>
      <c r="B201" s="18"/>
      <c r="C201" s="18"/>
      <c r="D201" s="18"/>
      <c r="E201" s="19"/>
    </row>
    <row r="202" spans="1:7" x14ac:dyDescent="0.2">
      <c r="A202" s="20"/>
      <c r="E202" s="21"/>
    </row>
    <row r="203" spans="1:7" x14ac:dyDescent="0.2">
      <c r="A203" s="20">
        <v>0</v>
      </c>
      <c r="B203" t="s">
        <v>359</v>
      </c>
      <c r="C203">
        <f>C153+C159</f>
        <v>2599.9999999999995</v>
      </c>
      <c r="D203" t="s">
        <v>359</v>
      </c>
      <c r="E203" s="21">
        <f>B70</f>
        <v>2600</v>
      </c>
    </row>
    <row r="204" spans="1:7" x14ac:dyDescent="0.2">
      <c r="A204" s="20">
        <v>0</v>
      </c>
      <c r="B204" t="s">
        <v>359</v>
      </c>
      <c r="C204">
        <f>C154+C160</f>
        <v>243.81349174809154</v>
      </c>
      <c r="D204" t="s">
        <v>359</v>
      </c>
      <c r="E204" s="21">
        <f>C70</f>
        <v>2050</v>
      </c>
    </row>
    <row r="205" spans="1:7" x14ac:dyDescent="0.2">
      <c r="A205" s="20">
        <v>0</v>
      </c>
      <c r="B205" t="s">
        <v>359</v>
      </c>
      <c r="C205">
        <f>C155+C161</f>
        <v>0</v>
      </c>
      <c r="D205" t="s">
        <v>359</v>
      </c>
      <c r="E205" s="21">
        <f>D70</f>
        <v>1920</v>
      </c>
    </row>
    <row r="206" spans="1:7" x14ac:dyDescent="0.2">
      <c r="A206" s="20">
        <v>0</v>
      </c>
      <c r="B206" t="s">
        <v>359</v>
      </c>
      <c r="C206">
        <f>C156+C162</f>
        <v>2400</v>
      </c>
      <c r="D206" t="s">
        <v>359</v>
      </c>
      <c r="E206" s="21">
        <f>E70</f>
        <v>2400</v>
      </c>
    </row>
    <row r="207" spans="1:7" x14ac:dyDescent="0.2">
      <c r="A207" s="20">
        <v>0</v>
      </c>
      <c r="B207" t="s">
        <v>359</v>
      </c>
      <c r="C207">
        <f>C157</f>
        <v>1928.8943187400612</v>
      </c>
      <c r="D207" t="s">
        <v>359</v>
      </c>
      <c r="E207" s="21">
        <f>F70</f>
        <v>2420</v>
      </c>
    </row>
    <row r="208" spans="1:7" x14ac:dyDescent="0.2">
      <c r="A208" s="20">
        <v>0</v>
      </c>
      <c r="B208" t="s">
        <v>359</v>
      </c>
      <c r="C208">
        <f>C158</f>
        <v>1920</v>
      </c>
      <c r="D208" t="s">
        <v>359</v>
      </c>
      <c r="E208" s="21">
        <f>G70</f>
        <v>1920</v>
      </c>
    </row>
    <row r="209" spans="1:25" x14ac:dyDescent="0.2">
      <c r="A209" s="20"/>
      <c r="E209" s="21"/>
    </row>
    <row r="210" spans="1:25" x14ac:dyDescent="0.2">
      <c r="A210" s="20">
        <f>A265</f>
        <v>100</v>
      </c>
      <c r="B210" t="s">
        <v>360</v>
      </c>
      <c r="C210">
        <f>B97+B80-C153-C159+C237+C242+C246-8.75</f>
        <v>250.00000000000034</v>
      </c>
      <c r="E210" s="21"/>
    </row>
    <row r="211" spans="1:25" x14ac:dyDescent="0.2">
      <c r="A211" s="20">
        <f>A265</f>
        <v>100</v>
      </c>
      <c r="B211" t="s">
        <v>360</v>
      </c>
      <c r="C211">
        <f>C97+C80+D176+D182-D186-D191-D195+C153-C154-C160-C237+C238+C243-8.75</f>
        <v>249.99999999989336</v>
      </c>
      <c r="E211" s="21"/>
    </row>
    <row r="212" spans="1:25" x14ac:dyDescent="0.2">
      <c r="A212" s="20">
        <f>A265</f>
        <v>100</v>
      </c>
      <c r="B212" t="s">
        <v>360</v>
      </c>
      <c r="C212">
        <f>D97+D80+D177+D182+D183-D187-D191-D195-D192-D193+C154-C155-C161-C238+C239+C244-8.75</f>
        <v>249.99999999993179</v>
      </c>
      <c r="E212" s="21"/>
    </row>
    <row r="213" spans="1:25" x14ac:dyDescent="0.2">
      <c r="A213" s="20">
        <f>A265</f>
        <v>100</v>
      </c>
      <c r="B213" t="s">
        <v>360</v>
      </c>
      <c r="C213">
        <f>E97+E80+D182+D178+D183+D184-D188-D192-D193-D195-C156+C159-C239+C240-C242+C155-C162+C245-8.75</f>
        <v>249.99999999988972</v>
      </c>
      <c r="E213" s="21"/>
    </row>
    <row r="214" spans="1:25" x14ac:dyDescent="0.2">
      <c r="A214" s="20">
        <f>A265</f>
        <v>100</v>
      </c>
      <c r="B214" t="s">
        <v>360</v>
      </c>
      <c r="C214">
        <f>F97+F80+D179+D183+D184+D185-D189-D192-D193-D194-D195+C156-C157+C160-C240+C241-C243-8.75</f>
        <v>250.00000000048624</v>
      </c>
      <c r="E214" s="21"/>
    </row>
    <row r="215" spans="1:25" ht="16" thickBot="1" x14ac:dyDescent="0.25">
      <c r="A215" s="22">
        <f>A265</f>
        <v>100</v>
      </c>
      <c r="B215" s="23" t="s">
        <v>360</v>
      </c>
      <c r="C215" s="23">
        <f>G97+G80+D180+D184+D185-D190-D193-D194-D195+C157-C158+C161-C241-C244-8.75</f>
        <v>250.00000000008367</v>
      </c>
      <c r="D215" s="23"/>
      <c r="E215" s="24"/>
    </row>
    <row r="218" spans="1:25" ht="16" thickBot="1" x14ac:dyDescent="0.25"/>
    <row r="219" spans="1:25" x14ac:dyDescent="0.2">
      <c r="C219" s="17" t="s">
        <v>516</v>
      </c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9"/>
    </row>
    <row r="220" spans="1:25" x14ac:dyDescent="0.2">
      <c r="C220" s="20" t="s">
        <v>517</v>
      </c>
      <c r="Y220" s="21"/>
    </row>
    <row r="221" spans="1:25" x14ac:dyDescent="0.2">
      <c r="C221" s="20"/>
      <c r="Y221" s="21"/>
    </row>
    <row r="222" spans="1:25" x14ac:dyDescent="0.2">
      <c r="C222" s="20"/>
      <c r="Y222" s="21"/>
    </row>
    <row r="223" spans="1:25" x14ac:dyDescent="0.2">
      <c r="C223" s="20" t="s">
        <v>519</v>
      </c>
      <c r="Y223" s="21"/>
    </row>
    <row r="224" spans="1:25" x14ac:dyDescent="0.2">
      <c r="C224" s="20" t="s">
        <v>518</v>
      </c>
      <c r="Y224" s="21"/>
    </row>
    <row r="225" spans="1:25" x14ac:dyDescent="0.2">
      <c r="C225" s="20"/>
      <c r="Y225" s="21"/>
    </row>
    <row r="226" spans="1:25" x14ac:dyDescent="0.2">
      <c r="C226" s="20" t="s">
        <v>520</v>
      </c>
      <c r="Y226" s="21"/>
    </row>
    <row r="227" spans="1:25" ht="16" thickBot="1" x14ac:dyDescent="0.25">
      <c r="C227" s="22" t="s">
        <v>521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4"/>
    </row>
    <row r="228" spans="1:25" ht="16" thickBot="1" x14ac:dyDescent="0.25"/>
    <row r="229" spans="1:25" x14ac:dyDescent="0.2">
      <c r="A229" s="17">
        <v>0</v>
      </c>
      <c r="B229" s="18" t="s">
        <v>359</v>
      </c>
      <c r="C229" s="25">
        <f>A257</f>
        <v>0.8</v>
      </c>
      <c r="D229" s="18" t="s">
        <v>359</v>
      </c>
      <c r="E229" s="26">
        <v>1</v>
      </c>
    </row>
    <row r="230" spans="1:25" x14ac:dyDescent="0.2">
      <c r="A230" s="20">
        <v>0</v>
      </c>
      <c r="B230" t="s">
        <v>359</v>
      </c>
      <c r="C230" s="5">
        <f>A258</f>
        <v>0.2</v>
      </c>
      <c r="D230" t="s">
        <v>359</v>
      </c>
      <c r="E230" s="27">
        <v>1</v>
      </c>
    </row>
    <row r="231" spans="1:25" x14ac:dyDescent="0.2">
      <c r="A231" s="20">
        <v>0</v>
      </c>
      <c r="B231" t="s">
        <v>359</v>
      </c>
      <c r="C231" s="5">
        <f>A259</f>
        <v>0</v>
      </c>
      <c r="D231" t="s">
        <v>359</v>
      </c>
      <c r="E231" s="27">
        <v>1</v>
      </c>
    </row>
    <row r="232" spans="1:25" x14ac:dyDescent="0.2">
      <c r="A232" s="20">
        <v>0</v>
      </c>
      <c r="B232" t="s">
        <v>359</v>
      </c>
      <c r="C232" s="15">
        <f>A261</f>
        <v>0</v>
      </c>
      <c r="D232" t="s">
        <v>359</v>
      </c>
      <c r="E232" s="27">
        <v>1</v>
      </c>
    </row>
    <row r="233" spans="1:25" ht="16" thickBot="1" x14ac:dyDescent="0.25">
      <c r="A233" s="22">
        <v>0</v>
      </c>
      <c r="B233" s="23" t="s">
        <v>359</v>
      </c>
      <c r="C233" s="28">
        <f>A262</f>
        <v>1</v>
      </c>
      <c r="D233" s="23" t="s">
        <v>359</v>
      </c>
      <c r="E233" s="29">
        <v>1</v>
      </c>
    </row>
    <row r="234" spans="1:25" ht="16" thickBot="1" x14ac:dyDescent="0.25"/>
    <row r="235" spans="1:25" ht="16" thickBot="1" x14ac:dyDescent="0.25">
      <c r="C235" s="17" t="s">
        <v>522</v>
      </c>
      <c r="D235" s="31"/>
      <c r="E235" s="31"/>
      <c r="F235" s="31"/>
      <c r="G235" s="31"/>
      <c r="H235" s="31"/>
      <c r="I235" s="31"/>
      <c r="J235" s="31"/>
      <c r="K235" s="31"/>
      <c r="L235" s="32"/>
    </row>
    <row r="236" spans="1:25" x14ac:dyDescent="0.2">
      <c r="A236" s="17">
        <v>0</v>
      </c>
      <c r="B236" s="18" t="s">
        <v>359</v>
      </c>
      <c r="C236" s="19">
        <f>A265</f>
        <v>100</v>
      </c>
    </row>
    <row r="237" spans="1:25" x14ac:dyDescent="0.2">
      <c r="A237" s="20">
        <v>0</v>
      </c>
      <c r="B237" t="s">
        <v>359</v>
      </c>
      <c r="C237" s="21">
        <f>C163</f>
        <v>976.8245737621736</v>
      </c>
    </row>
    <row r="238" spans="1:25" x14ac:dyDescent="0.2">
      <c r="A238" s="20">
        <v>0</v>
      </c>
      <c r="B238" t="s">
        <v>359</v>
      </c>
      <c r="C238" s="21">
        <f>C164</f>
        <v>0</v>
      </c>
    </row>
    <row r="239" spans="1:25" x14ac:dyDescent="0.2">
      <c r="A239" s="20">
        <v>0</v>
      </c>
      <c r="B239" t="s">
        <v>359</v>
      </c>
      <c r="C239" s="21">
        <f t="shared" ref="C239:C244" si="11">C165</f>
        <v>0</v>
      </c>
    </row>
    <row r="240" spans="1:25" x14ac:dyDescent="0.2">
      <c r="A240" s="20">
        <v>0</v>
      </c>
      <c r="B240" t="s">
        <v>359</v>
      </c>
      <c r="C240" s="21">
        <f t="shared" si="11"/>
        <v>-5.6843418860808015E-14</v>
      </c>
    </row>
    <row r="241" spans="1:4" x14ac:dyDescent="0.2">
      <c r="A241" s="20">
        <v>0</v>
      </c>
      <c r="B241" t="s">
        <v>359</v>
      </c>
      <c r="C241" s="21">
        <f t="shared" si="11"/>
        <v>0</v>
      </c>
    </row>
    <row r="242" spans="1:4" x14ac:dyDescent="0.2">
      <c r="A242" s="20">
        <v>0</v>
      </c>
      <c r="B242" t="s">
        <v>359</v>
      </c>
      <c r="C242" s="21">
        <f t="shared" si="11"/>
        <v>481.92542623782629</v>
      </c>
    </row>
    <row r="243" spans="1:4" x14ac:dyDescent="0.2">
      <c r="A243" s="20">
        <v>0</v>
      </c>
      <c r="B243" t="s">
        <v>359</v>
      </c>
      <c r="C243" s="21">
        <f t="shared" si="11"/>
        <v>619.94615943775727</v>
      </c>
    </row>
    <row r="244" spans="1:4" x14ac:dyDescent="0.2">
      <c r="A244" s="20">
        <v>0</v>
      </c>
      <c r="B244" t="s">
        <v>359</v>
      </c>
      <c r="C244" s="21">
        <f t="shared" si="11"/>
        <v>0</v>
      </c>
    </row>
    <row r="245" spans="1:4" x14ac:dyDescent="0.2">
      <c r="A245" s="20">
        <v>0</v>
      </c>
      <c r="B245" t="s">
        <v>359</v>
      </c>
      <c r="C245" s="21">
        <f>C171</f>
        <v>0</v>
      </c>
    </row>
    <row r="246" spans="1:4" ht="16" thickBot="1" x14ac:dyDescent="0.25">
      <c r="A246" s="22">
        <v>0</v>
      </c>
      <c r="B246" s="23" t="s">
        <v>359</v>
      </c>
      <c r="C246" s="24">
        <f>C172</f>
        <v>0</v>
      </c>
    </row>
    <row r="254" spans="1:4" x14ac:dyDescent="0.2">
      <c r="B254" t="s">
        <v>525</v>
      </c>
      <c r="C254" t="s">
        <v>526</v>
      </c>
    </row>
    <row r="255" spans="1:4" x14ac:dyDescent="0.2">
      <c r="A255" t="s">
        <v>568</v>
      </c>
      <c r="D255" t="s">
        <v>353</v>
      </c>
    </row>
    <row r="256" spans="1:4" x14ac:dyDescent="0.2">
      <c r="A256" t="s">
        <v>523</v>
      </c>
    </row>
    <row r="257" spans="1:4" x14ac:dyDescent="0.2">
      <c r="A257" s="5">
        <v>0.8</v>
      </c>
      <c r="B257">
        <f>SUM(B96:G96,B93:G93,B86:G88,B70:G70)</f>
        <v>22433.645718366235</v>
      </c>
      <c r="C257">
        <f>SUM(B95:G95,B94:G94,B84:G85,B79:G79)</f>
        <v>22446.355280063926</v>
      </c>
      <c r="D257">
        <f>B177</f>
        <v>12.653392337366768</v>
      </c>
    </row>
    <row r="258" spans="1:4" x14ac:dyDescent="0.2">
      <c r="A258" s="5">
        <v>0.2</v>
      </c>
    </row>
    <row r="259" spans="1:4" x14ac:dyDescent="0.2">
      <c r="A259" s="5">
        <v>0</v>
      </c>
    </row>
    <row r="260" spans="1:4" x14ac:dyDescent="0.2">
      <c r="A260" t="s">
        <v>524</v>
      </c>
      <c r="B260">
        <f>B257-C257</f>
        <v>-12.709561697691242</v>
      </c>
    </row>
    <row r="261" spans="1:4" x14ac:dyDescent="0.2">
      <c r="A261" s="5">
        <f>A372</f>
        <v>0</v>
      </c>
    </row>
    <row r="262" spans="1:4" x14ac:dyDescent="0.2">
      <c r="A262" s="16">
        <f>A373</f>
        <v>1</v>
      </c>
    </row>
    <row r="264" spans="1:4" x14ac:dyDescent="0.2">
      <c r="A264" t="s">
        <v>527</v>
      </c>
    </row>
    <row r="265" spans="1:4" x14ac:dyDescent="0.2">
      <c r="A265">
        <f>A376</f>
        <v>100</v>
      </c>
    </row>
    <row r="271" spans="1:4" x14ac:dyDescent="0.2">
      <c r="A271" t="s">
        <v>528</v>
      </c>
    </row>
    <row r="273" spans="1:2" x14ac:dyDescent="0.2">
      <c r="A273" t="s">
        <v>533</v>
      </c>
      <c r="B273" t="s">
        <v>530</v>
      </c>
    </row>
    <row r="276" spans="1:2" x14ac:dyDescent="0.2">
      <c r="A276" t="s">
        <v>529</v>
      </c>
      <c r="B276">
        <v>-94.863248310000003</v>
      </c>
    </row>
    <row r="278" spans="1:2" x14ac:dyDescent="0.2">
      <c r="A278" t="s">
        <v>536</v>
      </c>
      <c r="B278">
        <v>-61.351657410000001</v>
      </c>
    </row>
    <row r="280" spans="1:2" x14ac:dyDescent="0.2">
      <c r="A280" t="s">
        <v>531</v>
      </c>
      <c r="B280">
        <v>28.344268710000001</v>
      </c>
    </row>
    <row r="282" spans="1:2" x14ac:dyDescent="0.2">
      <c r="A282" t="s">
        <v>532</v>
      </c>
    </row>
    <row r="284" spans="1:2" x14ac:dyDescent="0.2">
      <c r="A284" t="str">
        <f>A276</f>
        <v>1. Collections is equal  base data ie 10%,10%,80%</v>
      </c>
      <c r="B284">
        <v>-94.863248310000003</v>
      </c>
    </row>
    <row r="286" spans="1:2" x14ac:dyDescent="0.2">
      <c r="A286" t="str">
        <f>A278</f>
        <v>2. Collection is equal to given problem 10%,60%,30%</v>
      </c>
      <c r="B286">
        <v>-61.351657410000001</v>
      </c>
    </row>
    <row r="288" spans="1:2" x14ac:dyDescent="0.2">
      <c r="A288" t="str">
        <f>A280</f>
        <v>3. Collections is equal to optimal condition 0%,0%,100%</v>
      </c>
      <c r="B288">
        <v>28.344268710000001</v>
      </c>
    </row>
    <row r="290" spans="1:2" x14ac:dyDescent="0.2">
      <c r="A290" t="s">
        <v>534</v>
      </c>
    </row>
    <row r="293" spans="1:2" x14ac:dyDescent="0.2">
      <c r="A293" t="str">
        <f>A276</f>
        <v>1. Collections is equal  base data ie 10%,10%,80%</v>
      </c>
      <c r="B293">
        <v>-84.304209850000007</v>
      </c>
    </row>
    <row r="295" spans="1:2" x14ac:dyDescent="0.2">
      <c r="A295" t="str">
        <f>A278</f>
        <v>2. Collection is equal to given problem 10%,60%,30%</v>
      </c>
      <c r="B295">
        <v>-51.442258000000002</v>
      </c>
    </row>
    <row r="297" spans="1:2" x14ac:dyDescent="0.2">
      <c r="A297" t="str">
        <f>A280</f>
        <v>3. Collections is equal to optimal condition 0%,0%,100%</v>
      </c>
      <c r="B297">
        <v>38.444812640000002</v>
      </c>
    </row>
    <row r="299" spans="1:2" x14ac:dyDescent="0.2">
      <c r="A299" t="s">
        <v>535</v>
      </c>
    </row>
    <row r="301" spans="1:2" x14ac:dyDescent="0.2">
      <c r="A301" t="str">
        <f>A276</f>
        <v>1. Collections is equal  base data ie 10%,10%,80%</v>
      </c>
      <c r="B301">
        <v>-84.304209850000007</v>
      </c>
    </row>
    <row r="303" spans="1:2" x14ac:dyDescent="0.2">
      <c r="A303" t="str">
        <f>A278</f>
        <v>2. Collection is equal to given problem 10%,60%,30%</v>
      </c>
      <c r="B303">
        <v>-51.442258000000002</v>
      </c>
    </row>
    <row r="305" spans="1:7" x14ac:dyDescent="0.2">
      <c r="A305" t="str">
        <f>A280</f>
        <v>3. Collections is equal to optimal condition 0%,0%,100%</v>
      </c>
      <c r="B305">
        <v>38.444812640000002</v>
      </c>
    </row>
    <row r="308" spans="1:7" ht="16" thickBot="1" x14ac:dyDescent="0.25"/>
    <row r="309" spans="1:7" ht="16" thickBot="1" x14ac:dyDescent="0.25">
      <c r="A309" s="40" t="s">
        <v>537</v>
      </c>
      <c r="B309" s="40" t="s">
        <v>19</v>
      </c>
      <c r="C309" s="40" t="s">
        <v>20</v>
      </c>
      <c r="D309" s="40" t="s">
        <v>7</v>
      </c>
      <c r="E309" s="40" t="s">
        <v>8</v>
      </c>
      <c r="F309" s="40" t="s">
        <v>9</v>
      </c>
      <c r="G309" s="42" t="s">
        <v>10</v>
      </c>
    </row>
    <row r="310" spans="1:7" x14ac:dyDescent="0.2">
      <c r="A310" s="34"/>
      <c r="B310" s="34"/>
      <c r="C310" s="34"/>
      <c r="D310" s="34"/>
      <c r="E310" s="34"/>
      <c r="F310" s="34"/>
      <c r="G310" s="21"/>
    </row>
    <row r="311" spans="1:7" x14ac:dyDescent="0.2">
      <c r="A311" s="41" t="s">
        <v>538</v>
      </c>
      <c r="B311" s="34">
        <f t="shared" ref="B311:G311" si="12">B97</f>
        <v>250</v>
      </c>
      <c r="C311" s="34">
        <f t="shared" si="12"/>
        <v>250.00000000000034</v>
      </c>
      <c r="D311" s="34">
        <f t="shared" si="12"/>
        <v>249.99999999989336</v>
      </c>
      <c r="E311" s="34">
        <f t="shared" si="12"/>
        <v>249.99999999993179</v>
      </c>
      <c r="F311" s="34">
        <f t="shared" si="12"/>
        <v>249.99999999988972</v>
      </c>
      <c r="G311" s="21">
        <f t="shared" si="12"/>
        <v>250.00000000048624</v>
      </c>
    </row>
    <row r="312" spans="1:7" x14ac:dyDescent="0.2">
      <c r="A312" s="34"/>
      <c r="B312" s="34"/>
      <c r="C312" s="34"/>
      <c r="D312" s="34"/>
      <c r="E312" s="34"/>
      <c r="F312" s="34"/>
      <c r="G312" s="21"/>
    </row>
    <row r="313" spans="1:7" x14ac:dyDescent="0.2">
      <c r="A313" s="41" t="s">
        <v>539</v>
      </c>
      <c r="B313" s="34">
        <f t="shared" ref="B313:G313" si="13">B70</f>
        <v>2600</v>
      </c>
      <c r="C313" s="34">
        <f t="shared" si="13"/>
        <v>2050</v>
      </c>
      <c r="D313" s="34">
        <f t="shared" si="13"/>
        <v>1920</v>
      </c>
      <c r="E313" s="34">
        <f t="shared" si="13"/>
        <v>2400</v>
      </c>
      <c r="F313" s="34">
        <f t="shared" si="13"/>
        <v>2420</v>
      </c>
      <c r="G313" s="21">
        <f t="shared" si="13"/>
        <v>1920</v>
      </c>
    </row>
    <row r="314" spans="1:7" x14ac:dyDescent="0.2">
      <c r="A314" s="41" t="s">
        <v>545</v>
      </c>
      <c r="B314" s="34">
        <f>C153</f>
        <v>0</v>
      </c>
      <c r="C314" s="34">
        <f>C154</f>
        <v>243.81349174809154</v>
      </c>
      <c r="D314" s="34">
        <f>C155</f>
        <v>0</v>
      </c>
      <c r="E314" s="34">
        <f>C156</f>
        <v>2173.5927216399473</v>
      </c>
      <c r="F314" s="34"/>
      <c r="G314" s="21"/>
    </row>
    <row r="315" spans="1:7" x14ac:dyDescent="0.2">
      <c r="A315" s="41" t="s">
        <v>546</v>
      </c>
      <c r="B315" s="34">
        <f>C159</f>
        <v>2599.9999999999995</v>
      </c>
      <c r="C315" s="34">
        <f>C160</f>
        <v>0</v>
      </c>
      <c r="D315" s="34">
        <f>C161</f>
        <v>0</v>
      </c>
      <c r="E315" s="34">
        <f>C162</f>
        <v>226.40727836005249</v>
      </c>
      <c r="F315" s="34"/>
      <c r="G315" s="21"/>
    </row>
    <row r="316" spans="1:7" x14ac:dyDescent="0.2">
      <c r="A316" s="41" t="s">
        <v>550</v>
      </c>
      <c r="B316" s="34">
        <f t="shared" ref="B316:G316" si="14">B313-(B314+B315)</f>
        <v>0</v>
      </c>
      <c r="C316" s="34">
        <f t="shared" si="14"/>
        <v>1806.1865082519084</v>
      </c>
      <c r="D316" s="34">
        <f t="shared" si="14"/>
        <v>1920</v>
      </c>
      <c r="E316" s="34">
        <f t="shared" si="14"/>
        <v>0</v>
      </c>
      <c r="F316" s="34">
        <f t="shared" si="14"/>
        <v>2420</v>
      </c>
      <c r="G316" s="21">
        <f t="shared" si="14"/>
        <v>1920</v>
      </c>
    </row>
    <row r="317" spans="1:7" x14ac:dyDescent="0.2">
      <c r="A317" s="34"/>
      <c r="B317" s="34"/>
      <c r="C317" s="34"/>
      <c r="D317" s="34"/>
      <c r="E317" s="34"/>
      <c r="F317" s="34"/>
      <c r="G317" s="21"/>
    </row>
    <row r="318" spans="1:7" x14ac:dyDescent="0.2">
      <c r="A318" s="41" t="s">
        <v>540</v>
      </c>
      <c r="B318" s="34">
        <f t="shared" ref="B318:G318" si="15">B79</f>
        <v>1450</v>
      </c>
      <c r="C318" s="34">
        <f t="shared" si="15"/>
        <v>1450</v>
      </c>
      <c r="D318" s="34">
        <f t="shared" si="15"/>
        <v>2168.7522762162321</v>
      </c>
      <c r="E318" s="34">
        <f t="shared" si="15"/>
        <v>2125</v>
      </c>
      <c r="F318" s="34">
        <f t="shared" si="15"/>
        <v>2050</v>
      </c>
      <c r="G318" s="21">
        <f t="shared" si="15"/>
        <v>1936.3090807187148</v>
      </c>
    </row>
    <row r="319" spans="1:7" x14ac:dyDescent="0.2">
      <c r="A319" s="34"/>
      <c r="B319" s="34"/>
      <c r="C319" s="34"/>
      <c r="D319" s="34"/>
      <c r="E319" s="34"/>
      <c r="F319" s="34"/>
      <c r="G319" s="21"/>
    </row>
    <row r="320" spans="1:7" x14ac:dyDescent="0.2">
      <c r="A320" s="41" t="s">
        <v>541</v>
      </c>
      <c r="B320" s="34">
        <f t="shared" ref="B320:G320" si="16">(B321+B322+B323)</f>
        <v>1458.75</v>
      </c>
      <c r="C320" s="34">
        <f t="shared" si="16"/>
        <v>619.94615943775727</v>
      </c>
      <c r="D320" s="34">
        <f t="shared" si="16"/>
        <v>0</v>
      </c>
      <c r="E320" s="34">
        <f t="shared" si="16"/>
        <v>-5.6843418860808015E-14</v>
      </c>
      <c r="F320" s="34">
        <f t="shared" si="16"/>
        <v>0</v>
      </c>
      <c r="G320" s="21">
        <f t="shared" si="16"/>
        <v>0</v>
      </c>
    </row>
    <row r="321" spans="1:7" x14ac:dyDescent="0.2">
      <c r="A321" s="41" t="s">
        <v>547</v>
      </c>
      <c r="B321" s="34">
        <f>C163</f>
        <v>976.8245737621736</v>
      </c>
      <c r="C321" s="34">
        <f>C164</f>
        <v>0</v>
      </c>
      <c r="D321" s="34">
        <f>C165</f>
        <v>0</v>
      </c>
      <c r="E321" s="34">
        <f>C166</f>
        <v>-5.6843418860808015E-14</v>
      </c>
      <c r="F321" s="34">
        <f>C167</f>
        <v>0</v>
      </c>
      <c r="G321" s="21">
        <f>0</f>
        <v>0</v>
      </c>
    </row>
    <row r="322" spans="1:7" x14ac:dyDescent="0.2">
      <c r="A322" s="41" t="s">
        <v>548</v>
      </c>
      <c r="B322" s="34">
        <f>C168</f>
        <v>481.92542623782629</v>
      </c>
      <c r="C322" s="34">
        <f>C169</f>
        <v>619.94615943775727</v>
      </c>
      <c r="D322" s="34">
        <f>C170</f>
        <v>0</v>
      </c>
      <c r="E322" s="34">
        <f>C171</f>
        <v>0</v>
      </c>
      <c r="F322" s="34">
        <f>0</f>
        <v>0</v>
      </c>
      <c r="G322" s="21">
        <f>0</f>
        <v>0</v>
      </c>
    </row>
    <row r="323" spans="1:7" x14ac:dyDescent="0.2">
      <c r="A323" s="41" t="s">
        <v>549</v>
      </c>
      <c r="B323" s="34">
        <f>C172</f>
        <v>0</v>
      </c>
      <c r="C323" s="34">
        <f>0</f>
        <v>0</v>
      </c>
      <c r="D323" s="34">
        <v>0</v>
      </c>
      <c r="E323" s="34">
        <f>0</f>
        <v>0</v>
      </c>
      <c r="F323" s="34">
        <f>0</f>
        <v>0</v>
      </c>
      <c r="G323" s="21">
        <f>0</f>
        <v>0</v>
      </c>
    </row>
    <row r="324" spans="1:7" x14ac:dyDescent="0.2">
      <c r="A324" s="34"/>
      <c r="B324" s="34"/>
      <c r="C324" s="34"/>
      <c r="D324" s="34"/>
      <c r="E324" s="34"/>
      <c r="F324" s="34"/>
      <c r="G324" s="21"/>
    </row>
    <row r="325" spans="1:7" x14ac:dyDescent="0.2">
      <c r="A325" s="41" t="s">
        <v>542</v>
      </c>
      <c r="B325" s="34">
        <f>B326+B327</f>
        <v>0</v>
      </c>
      <c r="C325" s="34">
        <f>C326+C327</f>
        <v>0</v>
      </c>
      <c r="D325" s="34">
        <f>D96</f>
        <v>243.81349174809154</v>
      </c>
      <c r="E325" s="34">
        <f>E96</f>
        <v>2599.9999999999995</v>
      </c>
      <c r="F325" s="34">
        <f>F96</f>
        <v>2173.5927216399473</v>
      </c>
      <c r="G325" s="21">
        <f>G96</f>
        <v>1928.8943187400612</v>
      </c>
    </row>
    <row r="326" spans="1:7" x14ac:dyDescent="0.2">
      <c r="A326" s="41" t="s">
        <v>551</v>
      </c>
      <c r="B326" s="34">
        <f>B95</f>
        <v>0</v>
      </c>
      <c r="C326" s="34">
        <f>C96</f>
        <v>0</v>
      </c>
      <c r="D326" s="34">
        <f>C314</f>
        <v>243.81349174809154</v>
      </c>
      <c r="E326" s="34">
        <f>D314</f>
        <v>0</v>
      </c>
      <c r="F326" s="34">
        <f>E314</f>
        <v>2173.5927216399473</v>
      </c>
      <c r="G326" s="21">
        <f>F314</f>
        <v>0</v>
      </c>
    </row>
    <row r="327" spans="1:7" x14ac:dyDescent="0.2">
      <c r="A327" s="41" t="s">
        <v>552</v>
      </c>
      <c r="B327" s="34">
        <v>0</v>
      </c>
      <c r="C327" s="34">
        <f>0</f>
        <v>0</v>
      </c>
      <c r="D327" s="34">
        <f>D325-D326</f>
        <v>0</v>
      </c>
      <c r="E327" s="34">
        <f>E325-E326</f>
        <v>2599.9999999999995</v>
      </c>
      <c r="F327" s="34">
        <f>F325-F326</f>
        <v>0</v>
      </c>
      <c r="G327" s="21">
        <f>G325-G326</f>
        <v>1928.8943187400612</v>
      </c>
    </row>
    <row r="328" spans="1:7" x14ac:dyDescent="0.2">
      <c r="A328" s="34"/>
      <c r="B328" s="34"/>
      <c r="C328" s="34"/>
      <c r="D328" s="34"/>
      <c r="E328" s="34"/>
      <c r="F328" s="34"/>
      <c r="G328" s="21"/>
    </row>
    <row r="329" spans="1:7" x14ac:dyDescent="0.2">
      <c r="A329" s="41" t="s">
        <v>559</v>
      </c>
      <c r="B329" s="34">
        <f t="shared" ref="B329:G329" si="17">B95</f>
        <v>0</v>
      </c>
      <c r="C329" s="34">
        <f t="shared" si="17"/>
        <v>976.8245737621736</v>
      </c>
      <c r="D329" s="34">
        <f t="shared" si="17"/>
        <v>0</v>
      </c>
      <c r="E329" s="34">
        <f t="shared" si="17"/>
        <v>481.92542623782629</v>
      </c>
      <c r="F329" s="34">
        <f t="shared" si="17"/>
        <v>619.94615943775716</v>
      </c>
      <c r="G329" s="21">
        <f t="shared" si="17"/>
        <v>0</v>
      </c>
    </row>
    <row r="330" spans="1:7" x14ac:dyDescent="0.2">
      <c r="A330" s="41" t="s">
        <v>551</v>
      </c>
      <c r="B330" s="34">
        <f>0</f>
        <v>0</v>
      </c>
      <c r="C330" s="34">
        <f>B321</f>
        <v>976.8245737621736</v>
      </c>
      <c r="D330" s="34">
        <f>C321</f>
        <v>0</v>
      </c>
      <c r="E330" s="34">
        <f>D321</f>
        <v>0</v>
      </c>
      <c r="F330" s="34">
        <f>E321</f>
        <v>-5.6843418860808015E-14</v>
      </c>
      <c r="G330" s="21">
        <f>F321</f>
        <v>0</v>
      </c>
    </row>
    <row r="331" spans="1:7" x14ac:dyDescent="0.2">
      <c r="A331" s="41" t="s">
        <v>552</v>
      </c>
      <c r="B331" s="34">
        <f>0</f>
        <v>0</v>
      </c>
      <c r="C331" s="34">
        <f>0</f>
        <v>0</v>
      </c>
      <c r="D331" s="34">
        <f>0</f>
        <v>0</v>
      </c>
      <c r="E331" s="34">
        <f>B322</f>
        <v>481.92542623782629</v>
      </c>
      <c r="F331" s="34">
        <f>C322</f>
        <v>619.94615943775727</v>
      </c>
      <c r="G331" s="21">
        <f>D322</f>
        <v>0</v>
      </c>
    </row>
    <row r="332" spans="1:7" x14ac:dyDescent="0.2">
      <c r="A332" s="41" t="s">
        <v>553</v>
      </c>
      <c r="B332" s="34">
        <f>0</f>
        <v>0</v>
      </c>
      <c r="C332" s="34">
        <f>0</f>
        <v>0</v>
      </c>
      <c r="D332" s="34">
        <f>0</f>
        <v>0</v>
      </c>
      <c r="E332" s="34">
        <f>0</f>
        <v>0</v>
      </c>
      <c r="F332" s="34">
        <f>0</f>
        <v>0</v>
      </c>
      <c r="G332" s="21">
        <f>0</f>
        <v>0</v>
      </c>
    </row>
    <row r="333" spans="1:7" x14ac:dyDescent="0.2">
      <c r="A333" s="34"/>
      <c r="B333" s="34"/>
      <c r="C333" s="34"/>
      <c r="D333" s="34"/>
      <c r="E333" s="34"/>
      <c r="F333" s="34"/>
      <c r="G333" s="21"/>
    </row>
    <row r="334" spans="1:7" x14ac:dyDescent="0.2">
      <c r="A334" s="41" t="s">
        <v>554</v>
      </c>
      <c r="B334" s="34">
        <f t="shared" ref="B334:G334" si="18">B336+B93</f>
        <v>1458.75</v>
      </c>
      <c r="C334" s="34">
        <f t="shared" si="18"/>
        <v>1469.8914272608251</v>
      </c>
      <c r="D334" s="34">
        <f t="shared" si="18"/>
        <v>2186.2254262695355</v>
      </c>
      <c r="E334" s="34">
        <f t="shared" si="18"/>
        <v>2138.6579070955067</v>
      </c>
      <c r="F334" s="34">
        <f t="shared" si="18"/>
        <v>3992.5522258362062</v>
      </c>
      <c r="G334" s="21">
        <f t="shared" si="18"/>
        <v>3865.0590807183116</v>
      </c>
    </row>
    <row r="335" spans="1:7" x14ac:dyDescent="0.2">
      <c r="A335" s="34"/>
      <c r="B335" s="34"/>
      <c r="C335" s="34"/>
      <c r="D335" s="34"/>
      <c r="E335" s="34"/>
      <c r="F335" s="34"/>
      <c r="G335" s="21"/>
    </row>
    <row r="336" spans="1:7" x14ac:dyDescent="0.2">
      <c r="A336" s="41" t="s">
        <v>543</v>
      </c>
      <c r="B336" s="34">
        <f t="shared" ref="B336:G336" si="19">B325+B320+B316-B329</f>
        <v>1458.75</v>
      </c>
      <c r="C336" s="34">
        <f t="shared" si="19"/>
        <v>1449.3080939274919</v>
      </c>
      <c r="D336" s="34">
        <f t="shared" si="19"/>
        <v>2163.8134917480916</v>
      </c>
      <c r="E336" s="34">
        <f t="shared" si="19"/>
        <v>2118.0745737621733</v>
      </c>
      <c r="F336" s="34">
        <f t="shared" si="19"/>
        <v>3973.6465622021897</v>
      </c>
      <c r="G336" s="21">
        <f t="shared" si="19"/>
        <v>3848.894318740061</v>
      </c>
    </row>
    <row r="337" spans="1:7" x14ac:dyDescent="0.2">
      <c r="A337" s="34"/>
      <c r="B337" s="34"/>
      <c r="C337" s="34"/>
      <c r="D337" s="34"/>
      <c r="E337" s="34"/>
      <c r="F337" s="34"/>
      <c r="G337" s="21"/>
    </row>
    <row r="338" spans="1:7" x14ac:dyDescent="0.2">
      <c r="A338" s="41" t="s">
        <v>544</v>
      </c>
      <c r="B338" s="34">
        <f t="shared" ref="B338:G338" si="20">B334-B318</f>
        <v>8.75</v>
      </c>
      <c r="C338" s="34">
        <f t="shared" si="20"/>
        <v>19.891427260825139</v>
      </c>
      <c r="D338" s="34">
        <f t="shared" si="20"/>
        <v>17.47315005330347</v>
      </c>
      <c r="E338" s="34">
        <f t="shared" si="20"/>
        <v>13.657907095506744</v>
      </c>
      <c r="F338" s="34">
        <f t="shared" si="20"/>
        <v>1942.5522258362062</v>
      </c>
      <c r="G338" s="21">
        <f t="shared" si="20"/>
        <v>1928.7499999995969</v>
      </c>
    </row>
    <row r="339" spans="1:7" x14ac:dyDescent="0.2">
      <c r="A339" s="34"/>
      <c r="B339" s="34"/>
      <c r="C339" s="34"/>
      <c r="D339" s="34"/>
      <c r="E339" s="34"/>
      <c r="F339" s="34"/>
      <c r="G339" s="21"/>
    </row>
    <row r="340" spans="1:7" x14ac:dyDescent="0.2">
      <c r="A340" s="41" t="s">
        <v>558</v>
      </c>
      <c r="B340" s="34">
        <f t="shared" ref="B340:G340" si="21">B94</f>
        <v>8.75</v>
      </c>
      <c r="C340" s="34">
        <f t="shared" si="21"/>
        <v>19.891427260932424</v>
      </c>
      <c r="D340" s="34">
        <f t="shared" si="21"/>
        <v>17.473150053265037</v>
      </c>
      <c r="E340" s="34">
        <f t="shared" si="21"/>
        <v>17.473150053265037</v>
      </c>
      <c r="F340" s="34">
        <f t="shared" si="21"/>
        <v>13.657907095548911</v>
      </c>
      <c r="G340" s="21">
        <f t="shared" si="21"/>
        <v>8.75</v>
      </c>
    </row>
    <row r="341" spans="1:7" x14ac:dyDescent="0.2">
      <c r="A341" s="34"/>
      <c r="B341" s="34"/>
      <c r="C341" s="34"/>
      <c r="D341" s="34"/>
      <c r="E341" s="34"/>
      <c r="F341" s="34"/>
      <c r="G341" s="21"/>
    </row>
    <row r="342" spans="1:7" x14ac:dyDescent="0.2">
      <c r="A342" s="41" t="s">
        <v>555</v>
      </c>
      <c r="B342" s="34">
        <f t="shared" ref="B342:G342" si="22">B93</f>
        <v>0</v>
      </c>
      <c r="C342" s="34">
        <f t="shared" si="22"/>
        <v>20.583333333333332</v>
      </c>
      <c r="D342" s="34">
        <f t="shared" si="22"/>
        <v>22.411934521444017</v>
      </c>
      <c r="E342" s="34">
        <f t="shared" si="22"/>
        <v>20.583333333333332</v>
      </c>
      <c r="F342" s="34">
        <f t="shared" si="22"/>
        <v>18.905663634016644</v>
      </c>
      <c r="G342" s="21">
        <f t="shared" si="22"/>
        <v>16.164761978250851</v>
      </c>
    </row>
    <row r="343" spans="1:7" x14ac:dyDescent="0.2">
      <c r="A343" s="41" t="s">
        <v>556</v>
      </c>
      <c r="B343" s="34">
        <f>0</f>
        <v>0</v>
      </c>
      <c r="C343" s="34">
        <f>D176</f>
        <v>0</v>
      </c>
      <c r="D343" s="34">
        <f>D177</f>
        <v>1.8286011881106863</v>
      </c>
      <c r="E343" s="34">
        <f>D178</f>
        <v>0</v>
      </c>
      <c r="F343" s="34">
        <f>D179</f>
        <v>17.20760904631625</v>
      </c>
      <c r="G343" s="21">
        <f>D180</f>
        <v>14.466707390550459</v>
      </c>
    </row>
    <row r="344" spans="1:7" x14ac:dyDescent="0.2">
      <c r="A344" s="41" t="s">
        <v>557</v>
      </c>
      <c r="B344" s="34">
        <f t="shared" ref="B344:G344" si="23">B345+B346+B347+B348+B349+B350</f>
        <v>0</v>
      </c>
      <c r="C344" s="34">
        <f t="shared" si="23"/>
        <v>20.583333333333332</v>
      </c>
      <c r="D344" s="34">
        <f t="shared" si="23"/>
        <v>20.583333333333332</v>
      </c>
      <c r="E344" s="34">
        <f t="shared" si="23"/>
        <v>20.583333333333332</v>
      </c>
      <c r="F344" s="34">
        <f t="shared" si="23"/>
        <v>1.6980545877003934</v>
      </c>
      <c r="G344" s="21">
        <f t="shared" si="23"/>
        <v>1.6980545877003934</v>
      </c>
    </row>
    <row r="345" spans="1:7" x14ac:dyDescent="0.2">
      <c r="A345" s="41" t="s">
        <v>561</v>
      </c>
      <c r="B345" s="34">
        <v>0</v>
      </c>
      <c r="C345" s="34">
        <f>D182</f>
        <v>20.583333333333332</v>
      </c>
      <c r="D345" s="34">
        <f>D182</f>
        <v>20.583333333333332</v>
      </c>
      <c r="E345" s="34">
        <f>D182</f>
        <v>20.583333333333332</v>
      </c>
      <c r="F345" s="34">
        <v>0</v>
      </c>
      <c r="G345" s="21">
        <v>0</v>
      </c>
    </row>
    <row r="346" spans="1:7" x14ac:dyDescent="0.2">
      <c r="A346" s="41" t="s">
        <v>562</v>
      </c>
      <c r="B346" s="34">
        <v>0</v>
      </c>
      <c r="C346" s="34">
        <v>0</v>
      </c>
      <c r="D346" s="34">
        <f>D183</f>
        <v>0</v>
      </c>
      <c r="E346" s="34">
        <f>D183</f>
        <v>0</v>
      </c>
      <c r="F346" s="34">
        <f>D183</f>
        <v>0</v>
      </c>
      <c r="G346" s="21">
        <v>0</v>
      </c>
    </row>
    <row r="347" spans="1:7" x14ac:dyDescent="0.2">
      <c r="A347" s="41" t="s">
        <v>563</v>
      </c>
      <c r="B347" s="34">
        <v>0</v>
      </c>
      <c r="C347" s="34">
        <v>0</v>
      </c>
      <c r="D347" s="34">
        <v>0</v>
      </c>
      <c r="E347" s="34">
        <f>D184</f>
        <v>0</v>
      </c>
      <c r="F347" s="34">
        <f>D184</f>
        <v>0</v>
      </c>
      <c r="G347" s="21">
        <f>D184</f>
        <v>0</v>
      </c>
    </row>
    <row r="348" spans="1:7" x14ac:dyDescent="0.2">
      <c r="A348" s="41" t="s">
        <v>565</v>
      </c>
      <c r="B348" s="34">
        <v>0</v>
      </c>
      <c r="C348" s="34">
        <v>0</v>
      </c>
      <c r="D348" s="34">
        <v>0</v>
      </c>
      <c r="E348" s="34">
        <v>0</v>
      </c>
      <c r="F348" s="34">
        <f>D185</f>
        <v>1.6980545877003934</v>
      </c>
      <c r="G348" s="21">
        <f>D185</f>
        <v>1.6980545877003934</v>
      </c>
    </row>
    <row r="349" spans="1:7" x14ac:dyDescent="0.2">
      <c r="A349" s="41" t="s">
        <v>564</v>
      </c>
      <c r="B349" s="34">
        <v>0</v>
      </c>
      <c r="C349" s="34">
        <v>0</v>
      </c>
      <c r="D349" s="34">
        <v>0</v>
      </c>
      <c r="E349" s="34">
        <v>0</v>
      </c>
      <c r="F349" s="34">
        <v>0</v>
      </c>
      <c r="G349" s="21">
        <v>0</v>
      </c>
    </row>
    <row r="350" spans="1:7" x14ac:dyDescent="0.2">
      <c r="A350" s="41" t="s">
        <v>566</v>
      </c>
      <c r="B350" s="34">
        <v>0</v>
      </c>
      <c r="C350" s="34">
        <v>0</v>
      </c>
      <c r="D350" s="34">
        <v>0</v>
      </c>
      <c r="E350" s="34">
        <v>0</v>
      </c>
      <c r="F350" s="34">
        <v>0</v>
      </c>
      <c r="G350" s="21">
        <v>0</v>
      </c>
    </row>
    <row r="351" spans="1:7" x14ac:dyDescent="0.2">
      <c r="A351" s="34"/>
      <c r="B351" s="34"/>
      <c r="C351" s="34"/>
      <c r="D351" s="34"/>
      <c r="E351" s="34"/>
      <c r="F351" s="34"/>
      <c r="G351" s="21"/>
    </row>
    <row r="352" spans="1:7" x14ac:dyDescent="0.2">
      <c r="A352" s="41" t="s">
        <v>560</v>
      </c>
      <c r="B352" s="34">
        <f t="shared" ref="B352:G352" si="24">B94</f>
        <v>8.75</v>
      </c>
      <c r="C352" s="34">
        <f t="shared" si="24"/>
        <v>19.891427260932424</v>
      </c>
      <c r="D352" s="34">
        <f t="shared" si="24"/>
        <v>17.473150053265037</v>
      </c>
      <c r="E352" s="34">
        <f t="shared" si="24"/>
        <v>17.473150053265037</v>
      </c>
      <c r="F352" s="34">
        <f t="shared" si="24"/>
        <v>13.657907095548911</v>
      </c>
      <c r="G352" s="21">
        <f t="shared" si="24"/>
        <v>8.75</v>
      </c>
    </row>
    <row r="353" spans="1:7" x14ac:dyDescent="0.2">
      <c r="A353" s="41" t="s">
        <v>556</v>
      </c>
      <c r="B353" s="34">
        <v>0</v>
      </c>
      <c r="C353" s="34">
        <f>D186</f>
        <v>7.3261843032163014</v>
      </c>
      <c r="D353" s="34">
        <f>D187</f>
        <v>0</v>
      </c>
      <c r="E353" s="34">
        <f>D188</f>
        <v>0</v>
      </c>
      <c r="F353" s="34">
        <f>D189</f>
        <v>-5.2106467289074014E-16</v>
      </c>
      <c r="G353" s="21">
        <f>D190</f>
        <v>0</v>
      </c>
    </row>
    <row r="354" spans="1:7" x14ac:dyDescent="0.2">
      <c r="A354" s="41" t="s">
        <v>557</v>
      </c>
      <c r="B354" s="34">
        <f>B355+B356+B357+B358+B359+B360</f>
        <v>0</v>
      </c>
      <c r="C354" s="34">
        <f>C355+C356+C357+C358+C359+C360</f>
        <v>3.8152429577161246</v>
      </c>
      <c r="D354" s="34">
        <f>D355+D356+D357+D358+D359+D360</f>
        <v>8.7231500532650372</v>
      </c>
      <c r="E354" s="34">
        <f>D188</f>
        <v>0</v>
      </c>
      <c r="F354" s="34">
        <f>F355+F356+F357+F358+F359+F360</f>
        <v>4.9079070955489117</v>
      </c>
      <c r="G354" s="21">
        <f>G355+G356+G357+G358+G359+G360</f>
        <v>0</v>
      </c>
    </row>
    <row r="355" spans="1:7" x14ac:dyDescent="0.2">
      <c r="A355" s="41" t="str">
        <f t="shared" ref="A355:A360" si="25">A345</f>
        <v xml:space="preserve">                              January</v>
      </c>
      <c r="B355" s="34">
        <v>0</v>
      </c>
      <c r="C355" s="34">
        <f>D191</f>
        <v>3.8152429577161246</v>
      </c>
      <c r="D355" s="34">
        <f>D191</f>
        <v>3.8152429577161246</v>
      </c>
      <c r="E355" s="34">
        <f>D191</f>
        <v>3.8152429577161246</v>
      </c>
      <c r="F355" s="34">
        <v>0</v>
      </c>
      <c r="G355" s="21">
        <v>0</v>
      </c>
    </row>
    <row r="356" spans="1:7" x14ac:dyDescent="0.2">
      <c r="A356" s="41" t="str">
        <f t="shared" si="25"/>
        <v xml:space="preserve">                              February</v>
      </c>
      <c r="B356" s="34">
        <v>0</v>
      </c>
      <c r="C356" s="34">
        <v>0</v>
      </c>
      <c r="D356" s="34">
        <f>D192</f>
        <v>4.9079070955489117</v>
      </c>
      <c r="E356" s="34">
        <f>D192</f>
        <v>4.9079070955489117</v>
      </c>
      <c r="F356" s="34">
        <f>D192</f>
        <v>4.9079070955489117</v>
      </c>
      <c r="G356" s="21">
        <v>0</v>
      </c>
    </row>
    <row r="357" spans="1:7" x14ac:dyDescent="0.2">
      <c r="A357" s="41" t="str">
        <f t="shared" si="25"/>
        <v xml:space="preserve">                              March</v>
      </c>
      <c r="B357" s="34">
        <v>0</v>
      </c>
      <c r="C357" s="34">
        <v>0</v>
      </c>
      <c r="D357" s="34">
        <v>0</v>
      </c>
      <c r="E357" s="34">
        <f>D193</f>
        <v>0</v>
      </c>
      <c r="F357" s="34">
        <f>D193</f>
        <v>0</v>
      </c>
      <c r="G357" s="21">
        <f>D193</f>
        <v>0</v>
      </c>
    </row>
    <row r="358" spans="1:7" x14ac:dyDescent="0.2">
      <c r="A358" s="41" t="str">
        <f t="shared" si="25"/>
        <v xml:space="preserve">                              April</v>
      </c>
      <c r="B358" s="34">
        <v>0</v>
      </c>
      <c r="C358" s="34">
        <f>0</f>
        <v>0</v>
      </c>
      <c r="D358" s="34">
        <f>0</f>
        <v>0</v>
      </c>
      <c r="E358" s="34">
        <f>0</f>
        <v>0</v>
      </c>
      <c r="F358" s="34">
        <f>D194</f>
        <v>0</v>
      </c>
      <c r="G358" s="21">
        <f>D194</f>
        <v>0</v>
      </c>
    </row>
    <row r="359" spans="1:7" x14ac:dyDescent="0.2">
      <c r="A359" s="41" t="str">
        <f t="shared" si="25"/>
        <v xml:space="preserve">                             May</v>
      </c>
      <c r="B359" s="34">
        <v>0</v>
      </c>
      <c r="C359" s="34">
        <v>0</v>
      </c>
      <c r="D359" s="34">
        <v>0</v>
      </c>
      <c r="E359" s="34">
        <v>0</v>
      </c>
      <c r="F359" s="34">
        <v>0</v>
      </c>
      <c r="G359" s="21">
        <v>0</v>
      </c>
    </row>
    <row r="360" spans="1:7" x14ac:dyDescent="0.2">
      <c r="A360" s="41" t="str">
        <f t="shared" si="25"/>
        <v xml:space="preserve">                              June</v>
      </c>
      <c r="B360" s="34">
        <v>0</v>
      </c>
      <c r="C360" s="34">
        <v>0</v>
      </c>
      <c r="D360" s="34">
        <v>0</v>
      </c>
      <c r="E360" s="34">
        <v>0</v>
      </c>
      <c r="F360" s="34">
        <v>0</v>
      </c>
      <c r="G360" s="21">
        <v>0</v>
      </c>
    </row>
    <row r="361" spans="1:7" x14ac:dyDescent="0.2">
      <c r="A361" s="41" t="s">
        <v>567</v>
      </c>
      <c r="B361" s="34">
        <f>0</f>
        <v>0</v>
      </c>
      <c r="C361" s="34">
        <f>D195</f>
        <v>0</v>
      </c>
      <c r="D361" s="34">
        <f>D195</f>
        <v>0</v>
      </c>
      <c r="E361" s="34">
        <f>D195</f>
        <v>0</v>
      </c>
      <c r="F361" s="34">
        <f>D195</f>
        <v>0</v>
      </c>
      <c r="G361" s="21">
        <f>D195</f>
        <v>0</v>
      </c>
    </row>
    <row r="362" spans="1:7" ht="16" thickBot="1" x14ac:dyDescent="0.25">
      <c r="A362" s="43" t="s">
        <v>293</v>
      </c>
      <c r="B362" s="35">
        <v>8.75</v>
      </c>
      <c r="C362" s="35">
        <v>8.75</v>
      </c>
      <c r="D362" s="35">
        <v>8.75</v>
      </c>
      <c r="E362" s="35">
        <v>8.75</v>
      </c>
      <c r="F362" s="35">
        <v>8.75</v>
      </c>
      <c r="G362" s="24">
        <v>8.75</v>
      </c>
    </row>
    <row r="364" spans="1:7" ht="16" thickBot="1" x14ac:dyDescent="0.25"/>
    <row r="365" spans="1:7" ht="16" thickBot="1" x14ac:dyDescent="0.25">
      <c r="A365" s="52" t="s">
        <v>572</v>
      </c>
      <c r="B365" s="48"/>
      <c r="C365" s="42"/>
    </row>
    <row r="366" spans="1:7" ht="16" thickBot="1" x14ac:dyDescent="0.25">
      <c r="A366" s="20"/>
      <c r="C366" s="21"/>
    </row>
    <row r="367" spans="1:7" x14ac:dyDescent="0.2">
      <c r="A367" s="45" t="str">
        <f>A256</f>
        <v>Collection fractions</v>
      </c>
      <c r="B367" s="18"/>
      <c r="C367" s="19"/>
    </row>
    <row r="368" spans="1:7" x14ac:dyDescent="0.2">
      <c r="A368" s="50">
        <v>0</v>
      </c>
      <c r="C368" s="21"/>
    </row>
    <row r="369" spans="1:3" x14ac:dyDescent="0.2">
      <c r="A369" s="50">
        <v>1</v>
      </c>
      <c r="C369" s="21"/>
    </row>
    <row r="370" spans="1:3" ht="16" thickBot="1" x14ac:dyDescent="0.25">
      <c r="A370" s="51">
        <v>0</v>
      </c>
      <c r="B370" s="23"/>
      <c r="C370" s="24"/>
    </row>
    <row r="371" spans="1:3" x14ac:dyDescent="0.2">
      <c r="A371" s="45" t="str">
        <f>A260</f>
        <v>Purchase Fractions</v>
      </c>
      <c r="B371" s="18"/>
      <c r="C371" s="19"/>
    </row>
    <row r="372" spans="1:3" x14ac:dyDescent="0.2">
      <c r="A372" s="50">
        <v>0</v>
      </c>
      <c r="C372" s="21"/>
    </row>
    <row r="373" spans="1:3" ht="16" thickBot="1" x14ac:dyDescent="0.25">
      <c r="A373" s="51">
        <v>1</v>
      </c>
      <c r="B373" s="23"/>
      <c r="C373" s="24"/>
    </row>
    <row r="374" spans="1:3" ht="16" thickBot="1" x14ac:dyDescent="0.25">
      <c r="A374" s="20"/>
      <c r="C374" s="21"/>
    </row>
    <row r="375" spans="1:3" x14ac:dyDescent="0.2">
      <c r="A375" s="45" t="str">
        <f>A264</f>
        <v>minimum cash balance</v>
      </c>
      <c r="B375" s="18"/>
      <c r="C375" s="19"/>
    </row>
    <row r="376" spans="1:3" ht="16" thickBot="1" x14ac:dyDescent="0.25">
      <c r="A376" s="22">
        <v>100</v>
      </c>
      <c r="B376" s="23"/>
      <c r="C376" s="24"/>
    </row>
    <row r="377" spans="1:3" ht="16" thickBot="1" x14ac:dyDescent="0.25">
      <c r="A377" s="20"/>
      <c r="C377" s="21"/>
    </row>
    <row r="378" spans="1:3" x14ac:dyDescent="0.2">
      <c r="A378" s="45" t="s">
        <v>574</v>
      </c>
      <c r="B378" s="18"/>
      <c r="C378" s="19"/>
    </row>
    <row r="379" spans="1:3" ht="16" thickBot="1" x14ac:dyDescent="0.25">
      <c r="A379" s="22">
        <v>250</v>
      </c>
      <c r="B379" s="23"/>
      <c r="C379" s="24"/>
    </row>
    <row r="380" spans="1:3" x14ac:dyDescent="0.2">
      <c r="A380" s="45" t="s">
        <v>575</v>
      </c>
      <c r="B380" s="18"/>
      <c r="C380" s="19"/>
    </row>
    <row r="381" spans="1:3" ht="16" thickBot="1" x14ac:dyDescent="0.25">
      <c r="A381" s="22">
        <v>0</v>
      </c>
      <c r="B381" s="23"/>
      <c r="C381" s="24"/>
    </row>
    <row r="382" spans="1:3" x14ac:dyDescent="0.2">
      <c r="A382" s="46" t="s">
        <v>577</v>
      </c>
      <c r="C382" s="21"/>
    </row>
    <row r="383" spans="1:3" ht="16" thickBot="1" x14ac:dyDescent="0.25">
      <c r="A383" s="51">
        <v>0.4</v>
      </c>
      <c r="B383" s="23"/>
      <c r="C383" s="24"/>
    </row>
    <row r="386" spans="1:3" x14ac:dyDescent="0.2">
      <c r="A386" t="s">
        <v>579</v>
      </c>
    </row>
    <row r="387" spans="1:3" x14ac:dyDescent="0.2">
      <c r="A387">
        <v>1</v>
      </c>
      <c r="B387" s="5">
        <v>0</v>
      </c>
      <c r="C387">
        <v>-113.6309919</v>
      </c>
    </row>
    <row r="388" spans="1:3" x14ac:dyDescent="0.2">
      <c r="A388" t="s">
        <v>582</v>
      </c>
      <c r="B388" s="5">
        <v>0.05</v>
      </c>
    </row>
    <row r="389" spans="1:3" x14ac:dyDescent="0.2">
      <c r="B389" s="5">
        <v>0.95</v>
      </c>
    </row>
    <row r="391" spans="1:3" x14ac:dyDescent="0.2">
      <c r="A391">
        <v>2</v>
      </c>
      <c r="B391" s="5">
        <v>0.05</v>
      </c>
      <c r="C391">
        <v>-105.9115632</v>
      </c>
    </row>
    <row r="392" spans="1:3" x14ac:dyDescent="0.2">
      <c r="B392" s="5">
        <v>0.05</v>
      </c>
    </row>
    <row r="393" spans="1:3" x14ac:dyDescent="0.2">
      <c r="B393" s="5">
        <v>0.9</v>
      </c>
    </row>
    <row r="395" spans="1:3" x14ac:dyDescent="0.2">
      <c r="A395">
        <v>3</v>
      </c>
      <c r="B395" s="5">
        <v>0.05</v>
      </c>
      <c r="C395">
        <v>-102.528783</v>
      </c>
    </row>
    <row r="396" spans="1:3" x14ac:dyDescent="0.2">
      <c r="B396" s="5">
        <v>0.1</v>
      </c>
    </row>
    <row r="397" spans="1:3" x14ac:dyDescent="0.2">
      <c r="B397" s="5">
        <v>0.85</v>
      </c>
    </row>
    <row r="399" spans="1:3" x14ac:dyDescent="0.2">
      <c r="A399">
        <v>4</v>
      </c>
      <c r="B399" s="5">
        <v>0.1</v>
      </c>
      <c r="C399">
        <v>-94.863248310000003</v>
      </c>
    </row>
    <row r="400" spans="1:3" x14ac:dyDescent="0.2">
      <c r="B400" s="5">
        <v>0.1</v>
      </c>
    </row>
    <row r="401" spans="1:3" x14ac:dyDescent="0.2">
      <c r="B401" s="5">
        <v>0.8</v>
      </c>
    </row>
    <row r="403" spans="1:3" x14ac:dyDescent="0.2">
      <c r="A403">
        <v>5</v>
      </c>
      <c r="B403" s="5">
        <v>0.15</v>
      </c>
      <c r="C403">
        <v>-87.197713640000003</v>
      </c>
    </row>
    <row r="404" spans="1:3" x14ac:dyDescent="0.2">
      <c r="B404" s="5">
        <v>0.1</v>
      </c>
    </row>
    <row r="405" spans="1:3" x14ac:dyDescent="0.2">
      <c r="B405" s="5">
        <v>0.75</v>
      </c>
    </row>
    <row r="407" spans="1:3" x14ac:dyDescent="0.2">
      <c r="A407">
        <v>6</v>
      </c>
      <c r="B407" s="5">
        <v>0.15</v>
      </c>
      <c r="C407">
        <v>-83.814933429999996</v>
      </c>
    </row>
    <row r="408" spans="1:3" x14ac:dyDescent="0.2">
      <c r="B408" s="5">
        <v>0.15</v>
      </c>
    </row>
    <row r="409" spans="1:3" x14ac:dyDescent="0.2">
      <c r="B409" s="5">
        <v>0.7</v>
      </c>
    </row>
    <row r="411" spans="1:3" x14ac:dyDescent="0.2">
      <c r="A411">
        <v>7</v>
      </c>
      <c r="B411" s="5">
        <v>0.15</v>
      </c>
      <c r="C411">
        <v>-80.432153209999996</v>
      </c>
    </row>
    <row r="412" spans="1:3" x14ac:dyDescent="0.2">
      <c r="B412" s="5">
        <v>0.2</v>
      </c>
    </row>
    <row r="413" spans="1:3" x14ac:dyDescent="0.2">
      <c r="B413" s="5">
        <v>0.65</v>
      </c>
    </row>
    <row r="415" spans="1:3" x14ac:dyDescent="0.2">
      <c r="A415">
        <v>8</v>
      </c>
      <c r="B415" s="5">
        <v>0.2</v>
      </c>
      <c r="C415">
        <v>-72.768355909999997</v>
      </c>
    </row>
    <row r="416" spans="1:3" x14ac:dyDescent="0.2">
      <c r="B416" s="5">
        <v>0.2</v>
      </c>
    </row>
    <row r="417" spans="1:3" x14ac:dyDescent="0.2">
      <c r="B417" s="5">
        <v>0.6</v>
      </c>
    </row>
    <row r="419" spans="1:3" x14ac:dyDescent="0.2">
      <c r="A419">
        <v>9</v>
      </c>
      <c r="B419" s="5">
        <v>0.25</v>
      </c>
      <c r="C419">
        <v>-65.106105790000001</v>
      </c>
    </row>
    <row r="420" spans="1:3" x14ac:dyDescent="0.2">
      <c r="B420" s="5">
        <v>0.2</v>
      </c>
    </row>
    <row r="421" spans="1:3" x14ac:dyDescent="0.2">
      <c r="B421" s="5">
        <v>0.55000000000000004</v>
      </c>
    </row>
    <row r="423" spans="1:3" x14ac:dyDescent="0.2">
      <c r="A423">
        <v>10</v>
      </c>
      <c r="B423" s="5">
        <v>0.25</v>
      </c>
      <c r="C423">
        <v>-61.726319760000003</v>
      </c>
    </row>
    <row r="424" spans="1:3" x14ac:dyDescent="0.2">
      <c r="B424" s="5">
        <v>0.25</v>
      </c>
    </row>
    <row r="425" spans="1:3" x14ac:dyDescent="0.2">
      <c r="B425" s="5">
        <v>0.5</v>
      </c>
    </row>
    <row r="426" spans="1:3" x14ac:dyDescent="0.2">
      <c r="A426">
        <v>11</v>
      </c>
    </row>
    <row r="427" spans="1:3" x14ac:dyDescent="0.2">
      <c r="B427" s="5">
        <v>0.25</v>
      </c>
      <c r="C427">
        <v>-58.421810729999997</v>
      </c>
    </row>
    <row r="428" spans="1:3" x14ac:dyDescent="0.2">
      <c r="B428" s="5">
        <v>0.3</v>
      </c>
    </row>
    <row r="429" spans="1:3" x14ac:dyDescent="0.2">
      <c r="B429" s="5">
        <v>0.45</v>
      </c>
    </row>
    <row r="431" spans="1:3" x14ac:dyDescent="0.2">
      <c r="A431">
        <v>12</v>
      </c>
      <c r="B431" s="5">
        <v>0.3</v>
      </c>
      <c r="C431">
        <v>-51.298177610000003</v>
      </c>
    </row>
    <row r="432" spans="1:3" x14ac:dyDescent="0.2">
      <c r="B432" s="5">
        <v>0.3</v>
      </c>
    </row>
    <row r="433" spans="1:3" x14ac:dyDescent="0.2">
      <c r="B433" s="5">
        <v>0.4</v>
      </c>
    </row>
    <row r="435" spans="1:3" x14ac:dyDescent="0.2">
      <c r="A435">
        <v>13</v>
      </c>
      <c r="B435" s="5">
        <v>0.35</v>
      </c>
      <c r="C435">
        <v>-44.242528030000003</v>
      </c>
    </row>
    <row r="436" spans="1:3" x14ac:dyDescent="0.2">
      <c r="B436" s="5">
        <v>0.3</v>
      </c>
    </row>
    <row r="437" spans="1:3" x14ac:dyDescent="0.2">
      <c r="B437" s="5">
        <v>0.35</v>
      </c>
    </row>
    <row r="439" spans="1:3" x14ac:dyDescent="0.2">
      <c r="A439">
        <v>14</v>
      </c>
      <c r="B439" s="5">
        <v>0.35</v>
      </c>
      <c r="C439">
        <v>-41.22261804</v>
      </c>
    </row>
    <row r="440" spans="1:3" x14ac:dyDescent="0.2">
      <c r="B440" s="5">
        <v>0.35</v>
      </c>
    </row>
    <row r="441" spans="1:3" x14ac:dyDescent="0.2">
      <c r="B441" s="5">
        <v>0.3</v>
      </c>
    </row>
    <row r="443" spans="1:3" x14ac:dyDescent="0.2">
      <c r="A443">
        <v>15</v>
      </c>
      <c r="B443" s="5">
        <v>0.35</v>
      </c>
      <c r="C443">
        <v>-38.20022823</v>
      </c>
    </row>
    <row r="444" spans="1:3" x14ac:dyDescent="0.2">
      <c r="B444" s="5">
        <v>0.4</v>
      </c>
    </row>
    <row r="445" spans="1:3" x14ac:dyDescent="0.2">
      <c r="B445" s="5">
        <v>0.25</v>
      </c>
    </row>
    <row r="447" spans="1:3" x14ac:dyDescent="0.2">
      <c r="A447">
        <v>16</v>
      </c>
      <c r="B447" s="5">
        <v>0.4</v>
      </c>
      <c r="C447">
        <v>-31.180505069999999</v>
      </c>
    </row>
    <row r="448" spans="1:3" x14ac:dyDescent="0.2">
      <c r="B448" s="5">
        <v>0.4</v>
      </c>
    </row>
    <row r="449" spans="1:3" x14ac:dyDescent="0.2">
      <c r="B449" s="5">
        <v>0.2</v>
      </c>
    </row>
    <row r="451" spans="1:3" x14ac:dyDescent="0.2">
      <c r="A451">
        <v>17</v>
      </c>
      <c r="B451" s="5">
        <v>0.45</v>
      </c>
      <c r="C451">
        <v>-24.1607819</v>
      </c>
    </row>
    <row r="452" spans="1:3" x14ac:dyDescent="0.2">
      <c r="B452" s="5">
        <v>0.4</v>
      </c>
    </row>
    <row r="453" spans="1:3" x14ac:dyDescent="0.2">
      <c r="B453" s="5">
        <v>0.15</v>
      </c>
    </row>
    <row r="455" spans="1:3" x14ac:dyDescent="0.2">
      <c r="A455">
        <v>18</v>
      </c>
      <c r="B455" s="5">
        <v>0.45</v>
      </c>
      <c r="C455">
        <v>-21.14011318</v>
      </c>
    </row>
    <row r="456" spans="1:3" x14ac:dyDescent="0.2">
      <c r="B456" s="5">
        <v>0.45</v>
      </c>
    </row>
    <row r="457" spans="1:3" x14ac:dyDescent="0.2">
      <c r="B457" s="5">
        <v>0.1</v>
      </c>
    </row>
    <row r="459" spans="1:3" x14ac:dyDescent="0.2">
      <c r="A459">
        <v>19</v>
      </c>
      <c r="B459" s="5">
        <v>0.45</v>
      </c>
      <c r="C459">
        <v>-18.11944446</v>
      </c>
    </row>
    <row r="460" spans="1:3" x14ac:dyDescent="0.2">
      <c r="B460" s="5">
        <v>0.5</v>
      </c>
    </row>
    <row r="461" spans="1:3" x14ac:dyDescent="0.2">
      <c r="B461" s="5">
        <v>0.05</v>
      </c>
    </row>
    <row r="463" spans="1:3" x14ac:dyDescent="0.2">
      <c r="A463">
        <v>20</v>
      </c>
      <c r="B463" s="5">
        <v>0.5</v>
      </c>
      <c r="C463">
        <v>-11.099721300000001</v>
      </c>
    </row>
    <row r="464" spans="1:3" x14ac:dyDescent="0.2">
      <c r="B464" s="5">
        <v>0.5</v>
      </c>
    </row>
    <row r="465" spans="1:3" x14ac:dyDescent="0.2">
      <c r="B465" s="5">
        <v>0</v>
      </c>
    </row>
    <row r="467" spans="1:3" x14ac:dyDescent="0.2">
      <c r="A467">
        <v>21</v>
      </c>
      <c r="B467" s="5">
        <v>0.55000000000000004</v>
      </c>
      <c r="C467">
        <v>-10.143801890000001</v>
      </c>
    </row>
    <row r="468" spans="1:3" x14ac:dyDescent="0.2">
      <c r="B468" s="5">
        <v>0.4</v>
      </c>
    </row>
    <row r="469" spans="1:3" x14ac:dyDescent="0.2">
      <c r="B469" s="5">
        <v>0.05</v>
      </c>
    </row>
    <row r="471" spans="1:3" x14ac:dyDescent="0.2">
      <c r="A471">
        <v>22</v>
      </c>
      <c r="B471" s="5">
        <v>0.6</v>
      </c>
      <c r="C471">
        <v>-9.1899232800000004</v>
      </c>
    </row>
    <row r="472" spans="1:3" x14ac:dyDescent="0.2">
      <c r="B472" s="5">
        <v>0.3</v>
      </c>
    </row>
    <row r="473" spans="1:3" x14ac:dyDescent="0.2">
      <c r="B473" s="5">
        <v>0.1</v>
      </c>
    </row>
    <row r="475" spans="1:3" x14ac:dyDescent="0.2">
      <c r="A475">
        <v>23</v>
      </c>
      <c r="B475" s="5">
        <v>0.65</v>
      </c>
      <c r="C475">
        <v>-8.2360446679999999</v>
      </c>
    </row>
    <row r="476" spans="1:3" x14ac:dyDescent="0.2">
      <c r="B476" s="5">
        <v>0.2</v>
      </c>
    </row>
    <row r="477" spans="1:3" x14ac:dyDescent="0.2">
      <c r="B477" s="5">
        <v>0.15</v>
      </c>
    </row>
    <row r="479" spans="1:3" x14ac:dyDescent="0.2">
      <c r="A479">
        <v>24</v>
      </c>
      <c r="B479" s="5">
        <v>0.7</v>
      </c>
      <c r="C479">
        <v>-7.2821660560000003</v>
      </c>
    </row>
    <row r="480" spans="1:3" x14ac:dyDescent="0.2">
      <c r="B480" s="5">
        <v>0.1</v>
      </c>
    </row>
    <row r="481" spans="1:3" x14ac:dyDescent="0.2">
      <c r="B481" s="5">
        <v>0.2</v>
      </c>
    </row>
    <row r="483" spans="1:3" x14ac:dyDescent="0.2">
      <c r="A483">
        <v>25</v>
      </c>
      <c r="B483" s="5">
        <v>0.8</v>
      </c>
      <c r="C483">
        <v>0.66653952100000002</v>
      </c>
    </row>
    <row r="484" spans="1:3" x14ac:dyDescent="0.2">
      <c r="B484" s="5">
        <v>0</v>
      </c>
    </row>
    <row r="485" spans="1:3" x14ac:dyDescent="0.2">
      <c r="B485" s="5">
        <v>0.2</v>
      </c>
    </row>
    <row r="487" spans="1:3" x14ac:dyDescent="0.2">
      <c r="A487">
        <v>26</v>
      </c>
      <c r="B487" s="5">
        <v>0.85</v>
      </c>
      <c r="C487">
        <v>10.641610010000001</v>
      </c>
    </row>
    <row r="488" spans="1:3" x14ac:dyDescent="0.2">
      <c r="B488" s="5">
        <v>0.05</v>
      </c>
    </row>
    <row r="489" spans="1:3" x14ac:dyDescent="0.2">
      <c r="B489" s="5">
        <v>0.1</v>
      </c>
    </row>
    <row r="491" spans="1:3" x14ac:dyDescent="0.2">
      <c r="A491">
        <v>27</v>
      </c>
      <c r="B491" s="5">
        <v>0.8</v>
      </c>
      <c r="C491">
        <v>12.65339234</v>
      </c>
    </row>
    <row r="492" spans="1:3" x14ac:dyDescent="0.2">
      <c r="B492" s="5">
        <v>0.2</v>
      </c>
    </row>
    <row r="493" spans="1:3" x14ac:dyDescent="0.2">
      <c r="B493" s="5">
        <v>0</v>
      </c>
    </row>
    <row r="495" spans="1:3" x14ac:dyDescent="0.2">
      <c r="A495">
        <v>28</v>
      </c>
      <c r="B495" s="5">
        <v>0.85</v>
      </c>
      <c r="C495">
        <v>13.608860719999999</v>
      </c>
    </row>
    <row r="496" spans="1:3" x14ac:dyDescent="0.2">
      <c r="B496" s="5">
        <v>0.1</v>
      </c>
    </row>
    <row r="497" spans="1:3" x14ac:dyDescent="0.2">
      <c r="B497" s="5">
        <v>0.05</v>
      </c>
    </row>
    <row r="499" spans="1:3" x14ac:dyDescent="0.2">
      <c r="A499">
        <v>29</v>
      </c>
      <c r="B499" s="5">
        <v>0.9</v>
      </c>
      <c r="C499">
        <v>17.53157981</v>
      </c>
    </row>
    <row r="500" spans="1:3" x14ac:dyDescent="0.2">
      <c r="B500" s="5">
        <v>0.05</v>
      </c>
    </row>
    <row r="501" spans="1:3" x14ac:dyDescent="0.2">
      <c r="B501" s="5">
        <v>0.05</v>
      </c>
    </row>
    <row r="503" spans="1:3" x14ac:dyDescent="0.2">
      <c r="A503">
        <v>30</v>
      </c>
      <c r="B503" s="5">
        <v>0.95</v>
      </c>
      <c r="C503">
        <v>24.42154961</v>
      </c>
    </row>
    <row r="504" spans="1:3" x14ac:dyDescent="0.2">
      <c r="B504" s="5">
        <v>0.05</v>
      </c>
    </row>
    <row r="505" spans="1:3" x14ac:dyDescent="0.2">
      <c r="B505" s="5">
        <v>0</v>
      </c>
    </row>
    <row r="507" spans="1:3" x14ac:dyDescent="0.2">
      <c r="A507">
        <v>31</v>
      </c>
      <c r="B507" s="5">
        <v>1</v>
      </c>
      <c r="C507">
        <v>28.344268710000001</v>
      </c>
    </row>
    <row r="508" spans="1:3" x14ac:dyDescent="0.2">
      <c r="B508" s="5">
        <v>0</v>
      </c>
    </row>
    <row r="509" spans="1:3" x14ac:dyDescent="0.2">
      <c r="B509" s="5">
        <v>0</v>
      </c>
    </row>
    <row r="511" spans="1:3" x14ac:dyDescent="0.2">
      <c r="A511">
        <v>32</v>
      </c>
      <c r="B511" s="5">
        <v>0.45</v>
      </c>
      <c r="C511">
        <v>-15.098775740000001</v>
      </c>
    </row>
    <row r="512" spans="1:3" x14ac:dyDescent="0.2">
      <c r="B512" s="5">
        <v>0.55000000000000004</v>
      </c>
    </row>
    <row r="513" spans="1:3" x14ac:dyDescent="0.2">
      <c r="B513" s="5">
        <v>0</v>
      </c>
    </row>
    <row r="515" spans="1:3" x14ac:dyDescent="0.2">
      <c r="A515">
        <v>33</v>
      </c>
      <c r="B515" s="5">
        <v>0.35</v>
      </c>
      <c r="C515">
        <v>-26.117553350000001</v>
      </c>
    </row>
    <row r="516" spans="1:3" x14ac:dyDescent="0.2">
      <c r="B516" s="5">
        <v>0.6</v>
      </c>
    </row>
    <row r="517" spans="1:3" x14ac:dyDescent="0.2">
      <c r="B517" s="5">
        <v>0.05</v>
      </c>
    </row>
    <row r="519" spans="1:3" x14ac:dyDescent="0.2">
      <c r="A519">
        <v>34</v>
      </c>
      <c r="B519" s="5">
        <v>0.3</v>
      </c>
      <c r="C519">
        <v>-30.11660779</v>
      </c>
    </row>
    <row r="520" spans="1:3" x14ac:dyDescent="0.2">
      <c r="B520" s="5">
        <v>0.65</v>
      </c>
    </row>
    <row r="521" spans="1:3" x14ac:dyDescent="0.2">
      <c r="B521" s="5">
        <v>0.05</v>
      </c>
    </row>
    <row r="523" spans="1:3" x14ac:dyDescent="0.2">
      <c r="A523">
        <v>35</v>
      </c>
      <c r="B523" s="5">
        <v>0.25</v>
      </c>
      <c r="C523">
        <v>-34.115662229999998</v>
      </c>
    </row>
    <row r="524" spans="1:3" x14ac:dyDescent="0.2">
      <c r="B524" s="5">
        <v>0.7</v>
      </c>
    </row>
    <row r="525" spans="1:3" x14ac:dyDescent="0.2">
      <c r="B525" s="5">
        <v>0.05</v>
      </c>
    </row>
    <row r="527" spans="1:3" x14ac:dyDescent="0.2">
      <c r="A527">
        <v>36</v>
      </c>
      <c r="B527" s="5">
        <v>0.15</v>
      </c>
      <c r="C527">
        <v>-34.115662229999998</v>
      </c>
    </row>
    <row r="528" spans="1:3" x14ac:dyDescent="0.2">
      <c r="B528" s="5">
        <v>0.8</v>
      </c>
    </row>
    <row r="529" spans="2:3" x14ac:dyDescent="0.2">
      <c r="B529" s="5">
        <v>0.05</v>
      </c>
    </row>
    <row r="531" spans="2:3" x14ac:dyDescent="0.2">
      <c r="B531" s="5">
        <v>0.05</v>
      </c>
      <c r="C531">
        <v>-34.115662229999998</v>
      </c>
    </row>
    <row r="532" spans="2:3" x14ac:dyDescent="0.2">
      <c r="B532" s="5">
        <v>0.9</v>
      </c>
    </row>
    <row r="533" spans="2:3" x14ac:dyDescent="0.2">
      <c r="B533" s="5">
        <v>0.05</v>
      </c>
    </row>
    <row r="535" spans="2:3" x14ac:dyDescent="0.2">
      <c r="B535" s="5">
        <v>0</v>
      </c>
      <c r="C535">
        <v>-34.115662229999998</v>
      </c>
    </row>
    <row r="536" spans="2:3" x14ac:dyDescent="0.2">
      <c r="B536" s="5">
        <v>1</v>
      </c>
    </row>
    <row r="537" spans="2:3" x14ac:dyDescent="0.2">
      <c r="B537" s="5">
        <v>0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Answer Report 3</vt:lpstr>
      <vt:lpstr>Sensitivity Report 3</vt:lpstr>
      <vt:lpstr>Limits Report 3</vt:lpstr>
      <vt:lpstr>Sheet1</vt:lpstr>
      <vt:lpstr>Replica of the model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JayaramNIT</dc:creator>
  <cp:lastModifiedBy>Jayaram Gokulan</cp:lastModifiedBy>
  <dcterms:created xsi:type="dcterms:W3CDTF">2012-09-16T05:10:01Z</dcterms:created>
  <dcterms:modified xsi:type="dcterms:W3CDTF">2026-10-18T00:49:10Z</dcterms:modified>
</cp:coreProperties>
</file>